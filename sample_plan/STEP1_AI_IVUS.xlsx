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121cc9a5737bb/Documents/"/>
    </mc:Choice>
  </mc:AlternateContent>
  <xr:revisionPtr revIDLastSave="261" documentId="8_{8E2BF5C8-9047-4075-B693-1268A930101E}" xr6:coauthVersionLast="47" xr6:coauthVersionMax="47" xr10:uidLastSave="{52335763-13A1-42F5-889B-C61EACC1C066}"/>
  <bookViews>
    <workbookView xWindow="-108" yWindow="-108" windowWidth="23256" windowHeight="12456" xr2:uid="{BE467142-1ECF-4678-9B69-7C86A69B33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1" l="1"/>
  <c r="X32" i="1" s="1"/>
  <c r="V33" i="1"/>
  <c r="X33" i="1" s="1"/>
  <c r="V53" i="1"/>
  <c r="X53" i="1" s="1"/>
  <c r="V54" i="1"/>
  <c r="X54" i="1" s="1"/>
  <c r="V92" i="1"/>
  <c r="X92" i="1" s="1"/>
  <c r="V93" i="1"/>
  <c r="X93" i="1" s="1"/>
  <c r="V94" i="1"/>
  <c r="X94" i="1" s="1"/>
  <c r="U3" i="1"/>
  <c r="U4" i="1"/>
  <c r="U5" i="1"/>
  <c r="U6" i="1"/>
  <c r="V6" i="1" s="1"/>
  <c r="X6" i="1" s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V31" i="1" s="1"/>
  <c r="X31" i="1" s="1"/>
  <c r="U32" i="1"/>
  <c r="U33" i="1"/>
  <c r="U34" i="1"/>
  <c r="U35" i="1"/>
  <c r="U36" i="1"/>
  <c r="U37" i="1"/>
  <c r="U38" i="1"/>
  <c r="U39" i="1"/>
  <c r="U40" i="1"/>
  <c r="U41" i="1"/>
  <c r="U42" i="1"/>
  <c r="V42" i="1" s="1"/>
  <c r="X42" i="1" s="1"/>
  <c r="U43" i="1"/>
  <c r="V43" i="1" s="1"/>
  <c r="X43" i="1" s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V67" i="1" s="1"/>
  <c r="X67" i="1" s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V91" i="1" s="1"/>
  <c r="X91" i="1" s="1"/>
  <c r="U92" i="1"/>
  <c r="U93" i="1"/>
  <c r="U94" i="1"/>
  <c r="U95" i="1"/>
  <c r="U2" i="1"/>
  <c r="T3" i="1"/>
  <c r="V3" i="1" s="1"/>
  <c r="X3" i="1" s="1"/>
  <c r="T4" i="1"/>
  <c r="T5" i="1"/>
  <c r="V5" i="1" s="1"/>
  <c r="X5" i="1" s="1"/>
  <c r="T6" i="1"/>
  <c r="T7" i="1"/>
  <c r="V7" i="1" s="1"/>
  <c r="X7" i="1" s="1"/>
  <c r="T8" i="1"/>
  <c r="V8" i="1" s="1"/>
  <c r="X8" i="1" s="1"/>
  <c r="T9" i="1"/>
  <c r="V9" i="1" s="1"/>
  <c r="X9" i="1" s="1"/>
  <c r="T10" i="1"/>
  <c r="V10" i="1" s="1"/>
  <c r="X10" i="1" s="1"/>
  <c r="T11" i="1"/>
  <c r="T12" i="1"/>
  <c r="T13" i="1"/>
  <c r="T14" i="1"/>
  <c r="T15" i="1"/>
  <c r="V15" i="1" s="1"/>
  <c r="X15" i="1" s="1"/>
  <c r="T16" i="1"/>
  <c r="V16" i="1" s="1"/>
  <c r="X16" i="1" s="1"/>
  <c r="T17" i="1"/>
  <c r="V17" i="1" s="1"/>
  <c r="X17" i="1" s="1"/>
  <c r="T18" i="1"/>
  <c r="T19" i="1"/>
  <c r="T20" i="1"/>
  <c r="T21" i="1"/>
  <c r="V21" i="1" s="1"/>
  <c r="X21" i="1" s="1"/>
  <c r="T22" i="1"/>
  <c r="V22" i="1" s="1"/>
  <c r="X22" i="1" s="1"/>
  <c r="T23" i="1"/>
  <c r="T24" i="1"/>
  <c r="T25" i="1"/>
  <c r="T26" i="1"/>
  <c r="T27" i="1"/>
  <c r="V27" i="1" s="1"/>
  <c r="X27" i="1" s="1"/>
  <c r="T28" i="1"/>
  <c r="V28" i="1" s="1"/>
  <c r="X28" i="1" s="1"/>
  <c r="T29" i="1"/>
  <c r="V29" i="1" s="1"/>
  <c r="X29" i="1" s="1"/>
  <c r="T30" i="1"/>
  <c r="V30" i="1" s="1"/>
  <c r="X30" i="1" s="1"/>
  <c r="T31" i="1"/>
  <c r="T32" i="1"/>
  <c r="T33" i="1"/>
  <c r="T34" i="1"/>
  <c r="V34" i="1" s="1"/>
  <c r="X34" i="1" s="1"/>
  <c r="T35" i="1"/>
  <c r="T36" i="1"/>
  <c r="T37" i="1"/>
  <c r="T38" i="1"/>
  <c r="T39" i="1"/>
  <c r="V39" i="1" s="1"/>
  <c r="X39" i="1" s="1"/>
  <c r="T40" i="1"/>
  <c r="V40" i="1" s="1"/>
  <c r="X40" i="1" s="1"/>
  <c r="T41" i="1"/>
  <c r="V41" i="1" s="1"/>
  <c r="X41" i="1" s="1"/>
  <c r="T42" i="1"/>
  <c r="T43" i="1"/>
  <c r="T44" i="1"/>
  <c r="T45" i="1"/>
  <c r="V45" i="1" s="1"/>
  <c r="X45" i="1" s="1"/>
  <c r="T46" i="1"/>
  <c r="T47" i="1"/>
  <c r="T48" i="1"/>
  <c r="T49" i="1"/>
  <c r="T50" i="1"/>
  <c r="T51" i="1"/>
  <c r="V51" i="1" s="1"/>
  <c r="X51" i="1" s="1"/>
  <c r="T52" i="1"/>
  <c r="V52" i="1" s="1"/>
  <c r="X52" i="1" s="1"/>
  <c r="T53" i="1"/>
  <c r="T54" i="1"/>
  <c r="T55" i="1"/>
  <c r="V55" i="1" s="1"/>
  <c r="X55" i="1" s="1"/>
  <c r="T56" i="1"/>
  <c r="T57" i="1"/>
  <c r="V57" i="1" s="1"/>
  <c r="X57" i="1" s="1"/>
  <c r="T58" i="1"/>
  <c r="V58" i="1" s="1"/>
  <c r="X58" i="1" s="1"/>
  <c r="T59" i="1"/>
  <c r="T60" i="1"/>
  <c r="T61" i="1"/>
  <c r="T62" i="1"/>
  <c r="T63" i="1"/>
  <c r="V63" i="1" s="1"/>
  <c r="X63" i="1" s="1"/>
  <c r="T64" i="1"/>
  <c r="V64" i="1" s="1"/>
  <c r="X64" i="1" s="1"/>
  <c r="T65" i="1"/>
  <c r="V65" i="1" s="1"/>
  <c r="X65" i="1" s="1"/>
  <c r="T66" i="1"/>
  <c r="T67" i="1"/>
  <c r="T68" i="1"/>
  <c r="V68" i="1" s="1"/>
  <c r="X68" i="1" s="1"/>
  <c r="T69" i="1"/>
  <c r="V69" i="1" s="1"/>
  <c r="X69" i="1" s="1"/>
  <c r="T70" i="1"/>
  <c r="V70" i="1" s="1"/>
  <c r="X70" i="1" s="1"/>
  <c r="T71" i="1"/>
  <c r="T72" i="1"/>
  <c r="T73" i="1"/>
  <c r="T74" i="1"/>
  <c r="T75" i="1"/>
  <c r="V75" i="1" s="1"/>
  <c r="X75" i="1" s="1"/>
  <c r="T76" i="1"/>
  <c r="V76" i="1" s="1"/>
  <c r="X76" i="1" s="1"/>
  <c r="T77" i="1"/>
  <c r="V77" i="1" s="1"/>
  <c r="X77" i="1" s="1"/>
  <c r="T78" i="1"/>
  <c r="T79" i="1"/>
  <c r="T80" i="1"/>
  <c r="T81" i="1"/>
  <c r="V81" i="1" s="1"/>
  <c r="X81" i="1" s="1"/>
  <c r="T82" i="1"/>
  <c r="T83" i="1"/>
  <c r="T84" i="1"/>
  <c r="T85" i="1"/>
  <c r="T86" i="1"/>
  <c r="T87" i="1"/>
  <c r="V87" i="1" s="1"/>
  <c r="X87" i="1" s="1"/>
  <c r="T88" i="1"/>
  <c r="V88" i="1" s="1"/>
  <c r="X88" i="1" s="1"/>
  <c r="T89" i="1"/>
  <c r="V89" i="1" s="1"/>
  <c r="X89" i="1" s="1"/>
  <c r="T90" i="1"/>
  <c r="V90" i="1" s="1"/>
  <c r="X90" i="1" s="1"/>
  <c r="T91" i="1"/>
  <c r="T92" i="1"/>
  <c r="T93" i="1"/>
  <c r="T94" i="1"/>
  <c r="T95" i="1"/>
  <c r="T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2" i="1"/>
  <c r="O15" i="1"/>
  <c r="N3" i="1"/>
  <c r="N4" i="1"/>
  <c r="O4" i="1" s="1"/>
  <c r="N5" i="1"/>
  <c r="N6" i="1"/>
  <c r="N7" i="1"/>
  <c r="N8" i="1"/>
  <c r="N9" i="1"/>
  <c r="N10" i="1"/>
  <c r="N11" i="1"/>
  <c r="N12" i="1"/>
  <c r="N13" i="1"/>
  <c r="N14" i="1"/>
  <c r="O14" i="1" s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2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4" i="1"/>
  <c r="M4" i="1" s="1"/>
  <c r="K5" i="1"/>
  <c r="M5" i="1" s="1"/>
  <c r="O5" i="1" s="1"/>
  <c r="K6" i="1"/>
  <c r="M6" i="1" s="1"/>
  <c r="O6" i="1" s="1"/>
  <c r="K7" i="1"/>
  <c r="M7" i="1" s="1"/>
  <c r="O7" i="1" s="1"/>
  <c r="K8" i="1"/>
  <c r="M8" i="1" s="1"/>
  <c r="K9" i="1"/>
  <c r="M9" i="1" s="1"/>
  <c r="O9" i="1" s="1"/>
  <c r="K10" i="1"/>
  <c r="M10" i="1" s="1"/>
  <c r="O10" i="1" s="1"/>
  <c r="K11" i="1"/>
  <c r="M11" i="1" s="1"/>
  <c r="O11" i="1" s="1"/>
  <c r="K12" i="1"/>
  <c r="M12" i="1" s="1"/>
  <c r="O12" i="1" s="1"/>
  <c r="K13" i="1"/>
  <c r="M13" i="1" s="1"/>
  <c r="K14" i="1"/>
  <c r="M14" i="1" s="1"/>
  <c r="K15" i="1"/>
  <c r="M15" i="1" s="1"/>
  <c r="K16" i="1"/>
  <c r="M16" i="1" s="1"/>
  <c r="K17" i="1"/>
  <c r="M17" i="1" s="1"/>
  <c r="O17" i="1" s="1"/>
  <c r="K18" i="1"/>
  <c r="M18" i="1" s="1"/>
  <c r="O18" i="1" s="1"/>
  <c r="K19" i="1"/>
  <c r="M19" i="1" s="1"/>
  <c r="K20" i="1"/>
  <c r="M20" i="1" s="1"/>
  <c r="K3" i="1"/>
  <c r="K2" i="1"/>
  <c r="V82" i="1" l="1"/>
  <c r="X82" i="1" s="1"/>
  <c r="V46" i="1"/>
  <c r="X46" i="1" s="1"/>
  <c r="O13" i="1"/>
  <c r="V4" i="1"/>
  <c r="X4" i="1" s="1"/>
  <c r="O16" i="1"/>
  <c r="V80" i="1"/>
  <c r="X80" i="1" s="1"/>
  <c r="V56" i="1"/>
  <c r="X56" i="1" s="1"/>
  <c r="V44" i="1"/>
  <c r="X44" i="1" s="1"/>
  <c r="V20" i="1"/>
  <c r="X20" i="1" s="1"/>
  <c r="M3" i="1"/>
  <c r="O3" i="1" s="1"/>
  <c r="V79" i="1"/>
  <c r="X79" i="1" s="1"/>
  <c r="V19" i="1"/>
  <c r="X19" i="1" s="1"/>
  <c r="V78" i="1"/>
  <c r="X78" i="1" s="1"/>
  <c r="V66" i="1"/>
  <c r="X66" i="1" s="1"/>
  <c r="V18" i="1"/>
  <c r="X18" i="1" s="1"/>
  <c r="V38" i="1"/>
  <c r="X38" i="1" s="1"/>
  <c r="V73" i="1"/>
  <c r="X73" i="1" s="1"/>
  <c r="V13" i="1"/>
  <c r="X13" i="1" s="1"/>
  <c r="V2" i="1"/>
  <c r="X2" i="1" s="1"/>
  <c r="V72" i="1"/>
  <c r="X72" i="1" s="1"/>
  <c r="V48" i="1"/>
  <c r="X48" i="1" s="1"/>
  <c r="V24" i="1"/>
  <c r="X24" i="1" s="1"/>
  <c r="O20" i="1"/>
  <c r="V95" i="1"/>
  <c r="X95" i="1" s="1"/>
  <c r="V71" i="1"/>
  <c r="X71" i="1" s="1"/>
  <c r="V47" i="1"/>
  <c r="X47" i="1" s="1"/>
  <c r="V23" i="1"/>
  <c r="X23" i="1" s="1"/>
  <c r="V62" i="1"/>
  <c r="X62" i="1" s="1"/>
  <c r="V14" i="1"/>
  <c r="X14" i="1" s="1"/>
  <c r="V37" i="1"/>
  <c r="X37" i="1" s="1"/>
  <c r="V84" i="1"/>
  <c r="X84" i="1" s="1"/>
  <c r="V60" i="1"/>
  <c r="X60" i="1" s="1"/>
  <c r="V36" i="1"/>
  <c r="X36" i="1" s="1"/>
  <c r="V12" i="1"/>
  <c r="X12" i="1" s="1"/>
  <c r="O8" i="1"/>
  <c r="V83" i="1"/>
  <c r="X83" i="1" s="1"/>
  <c r="V59" i="1"/>
  <c r="X59" i="1" s="1"/>
  <c r="V35" i="1"/>
  <c r="X35" i="1" s="1"/>
  <c r="V11" i="1"/>
  <c r="X11" i="1" s="1"/>
  <c r="O19" i="1"/>
  <c r="V50" i="1"/>
  <c r="X50" i="1" s="1"/>
  <c r="V61" i="1"/>
  <c r="X61" i="1" s="1"/>
  <c r="V74" i="1"/>
  <c r="X74" i="1" s="1"/>
  <c r="V85" i="1"/>
  <c r="X85" i="1" s="1"/>
  <c r="V25" i="1"/>
  <c r="X25" i="1" s="1"/>
  <c r="V86" i="1"/>
  <c r="X86" i="1" s="1"/>
  <c r="V26" i="1"/>
  <c r="X26" i="1" s="1"/>
  <c r="V49" i="1"/>
  <c r="X49" i="1" s="1"/>
  <c r="M91" i="1"/>
  <c r="O91" i="1" s="1"/>
  <c r="M43" i="1"/>
  <c r="O43" i="1" s="1"/>
  <c r="M49" i="1"/>
  <c r="O49" i="1" s="1"/>
  <c r="M60" i="1"/>
  <c r="O60" i="1" s="1"/>
  <c r="M48" i="1"/>
  <c r="O48" i="1" s="1"/>
  <c r="M24" i="1"/>
  <c r="O24" i="1" s="1"/>
  <c r="M72" i="1"/>
  <c r="O72" i="1" s="1"/>
  <c r="M77" i="1"/>
  <c r="O77" i="1" s="1"/>
  <c r="M53" i="1"/>
  <c r="O53" i="1" s="1"/>
  <c r="M29" i="1"/>
  <c r="O29" i="1" s="1"/>
  <c r="M88" i="1"/>
  <c r="O88" i="1" s="1"/>
  <c r="M76" i="1"/>
  <c r="O76" i="1" s="1"/>
  <c r="M64" i="1"/>
  <c r="O64" i="1" s="1"/>
  <c r="M52" i="1"/>
  <c r="O52" i="1" s="1"/>
  <c r="M40" i="1"/>
  <c r="O40" i="1" s="1"/>
  <c r="M28" i="1"/>
  <c r="O28" i="1" s="1"/>
  <c r="M2" i="1"/>
  <c r="O2" i="1" s="1"/>
  <c r="M89" i="1"/>
  <c r="O89" i="1" s="1"/>
  <c r="M65" i="1"/>
  <c r="O65" i="1" s="1"/>
  <c r="M41" i="1"/>
  <c r="O41" i="1" s="1"/>
  <c r="M87" i="1"/>
  <c r="O87" i="1" s="1"/>
  <c r="M75" i="1"/>
  <c r="O75" i="1" s="1"/>
  <c r="M63" i="1"/>
  <c r="O63" i="1" s="1"/>
  <c r="M51" i="1"/>
  <c r="O51" i="1" s="1"/>
  <c r="M39" i="1"/>
  <c r="O39" i="1" s="1"/>
  <c r="M27" i="1"/>
  <c r="O27" i="1" s="1"/>
  <c r="M94" i="1"/>
  <c r="O94" i="1" s="1"/>
  <c r="M82" i="1"/>
  <c r="O82" i="1" s="1"/>
  <c r="M70" i="1"/>
  <c r="O70" i="1" s="1"/>
  <c r="M58" i="1"/>
  <c r="O58" i="1" s="1"/>
  <c r="M46" i="1"/>
  <c r="O46" i="1" s="1"/>
  <c r="M34" i="1"/>
  <c r="O34" i="1" s="1"/>
  <c r="M22" i="1"/>
  <c r="O22" i="1" s="1"/>
  <c r="M93" i="1"/>
  <c r="O93" i="1" s="1"/>
  <c r="M81" i="1"/>
  <c r="O81" i="1" s="1"/>
  <c r="M69" i="1"/>
  <c r="O69" i="1" s="1"/>
  <c r="M57" i="1"/>
  <c r="O57" i="1" s="1"/>
  <c r="M45" i="1"/>
  <c r="O45" i="1" s="1"/>
  <c r="M33" i="1"/>
  <c r="O33" i="1" s="1"/>
  <c r="M21" i="1"/>
  <c r="O21" i="1" s="1"/>
  <c r="M85" i="1"/>
  <c r="O85" i="1" s="1"/>
  <c r="M73" i="1"/>
  <c r="O73" i="1" s="1"/>
  <c r="M61" i="1"/>
  <c r="O61" i="1" s="1"/>
  <c r="M37" i="1"/>
  <c r="O37" i="1" s="1"/>
  <c r="M25" i="1"/>
  <c r="O25" i="1" s="1"/>
  <c r="M92" i="1"/>
  <c r="O92" i="1" s="1"/>
  <c r="M80" i="1"/>
  <c r="O80" i="1" s="1"/>
  <c r="M68" i="1"/>
  <c r="O68" i="1" s="1"/>
  <c r="M56" i="1"/>
  <c r="O56" i="1" s="1"/>
  <c r="M44" i="1"/>
  <c r="O44" i="1" s="1"/>
  <c r="M32" i="1"/>
  <c r="O32" i="1" s="1"/>
  <c r="M84" i="1"/>
  <c r="O84" i="1" s="1"/>
  <c r="M36" i="1"/>
  <c r="O36" i="1" s="1"/>
  <c r="M79" i="1"/>
  <c r="O79" i="1" s="1"/>
  <c r="M67" i="1"/>
  <c r="O67" i="1" s="1"/>
  <c r="M55" i="1"/>
  <c r="O55" i="1" s="1"/>
  <c r="M31" i="1"/>
  <c r="O31" i="1" s="1"/>
  <c r="M74" i="1"/>
  <c r="O74" i="1" s="1"/>
  <c r="M38" i="1"/>
  <c r="O38" i="1" s="1"/>
  <c r="M78" i="1"/>
  <c r="O78" i="1" s="1"/>
  <c r="M66" i="1"/>
  <c r="O66" i="1" s="1"/>
  <c r="M42" i="1"/>
  <c r="O42" i="1" s="1"/>
  <c r="M62" i="1"/>
  <c r="O62" i="1" s="1"/>
  <c r="M90" i="1"/>
  <c r="O90" i="1" s="1"/>
  <c r="M54" i="1"/>
  <c r="O54" i="1" s="1"/>
  <c r="M30" i="1"/>
  <c r="O30" i="1" s="1"/>
  <c r="M86" i="1"/>
  <c r="O86" i="1" s="1"/>
  <c r="M50" i="1"/>
  <c r="O50" i="1" s="1"/>
  <c r="M26" i="1"/>
  <c r="O26" i="1" s="1"/>
  <c r="M95" i="1"/>
  <c r="O95" i="1" s="1"/>
  <c r="M83" i="1"/>
  <c r="O83" i="1" s="1"/>
  <c r="M71" i="1"/>
  <c r="O71" i="1" s="1"/>
  <c r="M59" i="1"/>
  <c r="O59" i="1" s="1"/>
  <c r="M47" i="1"/>
  <c r="O47" i="1" s="1"/>
  <c r="M35" i="1"/>
  <c r="O35" i="1" s="1"/>
  <c r="M23" i="1"/>
  <c r="O23" i="1" s="1"/>
</calcChain>
</file>

<file path=xl/sharedStrings.xml><?xml version="1.0" encoding="utf-8"?>
<sst xmlns="http://schemas.openxmlformats.org/spreadsheetml/2006/main" count="1361" uniqueCount="1117">
  <si>
    <t>case</t>
  </si>
  <si>
    <t>stem</t>
  </si>
  <si>
    <t>mapping</t>
  </si>
  <si>
    <t>pred_path</t>
  </si>
  <si>
    <t>gt_path</t>
  </si>
  <si>
    <t>shape</t>
  </si>
  <si>
    <t>lumen_dice</t>
  </si>
  <si>
    <t>lumen_iou</t>
  </si>
  <si>
    <t>lumen_precision</t>
  </si>
  <si>
    <t>lumen_recall</t>
  </si>
  <si>
    <t>001</t>
  </si>
  <si>
    <t>001_VL1</t>
  </si>
  <si>
    <t>identity</t>
  </si>
  <si>
    <t>sample_output/001/001_VL1_cropped_pred_like_gt_hwf.npy</t>
  </si>
  <si>
    <t>sample_gt_cropped/001/001_VL1_label_hwf.npy</t>
  </si>
  <si>
    <t>512x512x871</t>
  </si>
  <si>
    <t>0.8253309598595358</t>
  </si>
  <si>
    <t>0.7026072294889499</t>
  </si>
  <si>
    <t>0.8098043981838258</t>
  </si>
  <si>
    <t>0.8414645487148771</t>
  </si>
  <si>
    <t>002</t>
  </si>
  <si>
    <t>002_VL1</t>
  </si>
  <si>
    <t>sample_output/002/002_VL1_cropped_pred_like_gt_hwf.npy</t>
  </si>
  <si>
    <t>sample_gt_cropped/002/002_VL1_label_hwf.npy</t>
  </si>
  <si>
    <t>512x512x831</t>
  </si>
  <si>
    <t>0.6493365742715328</t>
  </si>
  <si>
    <t>0.4807537998752868</t>
  </si>
  <si>
    <t>0.5078305385756866</t>
  </si>
  <si>
    <t>0.9001662177573949</t>
  </si>
  <si>
    <t>003</t>
  </si>
  <si>
    <t>003_VL1</t>
  </si>
  <si>
    <t>sample_output/003/003_VL1_cropped_pred_like_gt_hwf.npy</t>
  </si>
  <si>
    <t>sample_gt_cropped/003/003_VL1_label_hwf.npy</t>
  </si>
  <si>
    <t>512x512x901</t>
  </si>
  <si>
    <t>0.7387047341903428</t>
  </si>
  <si>
    <t>0.5856715348219036</t>
  </si>
  <si>
    <t>0.6584418321412175</t>
  </si>
  <si>
    <t>0.8412518569540534</t>
  </si>
  <si>
    <t>004</t>
  </si>
  <si>
    <t>004_VL1</t>
  </si>
  <si>
    <t>sample_output/004/004_VL1_cropped_pred_like_gt_hwf.npy</t>
  </si>
  <si>
    <t>sample_gt_cropped/004/004_VL1_label_hwf.npy</t>
  </si>
  <si>
    <t>512x512x703</t>
  </si>
  <si>
    <t>0.6896744812629364</t>
  </si>
  <si>
    <t>0.5859046942221484</t>
  </si>
  <si>
    <t>0.8381129638994986</t>
  </si>
  <si>
    <t>005</t>
  </si>
  <si>
    <t>005_VL1</t>
  </si>
  <si>
    <t>sample_output/005/005_VL1_cropped_pred_like_gt_hwf.npy</t>
  </si>
  <si>
    <t>sample_gt_cropped/005/005_VL1_label_hwf.npy</t>
  </si>
  <si>
    <t>512x512x531</t>
  </si>
  <si>
    <t>0.7521585867004584</t>
  </si>
  <si>
    <t>0.6027677705547544</t>
  </si>
  <si>
    <t>0.6915727904325842</t>
  </si>
  <si>
    <t>008</t>
  </si>
  <si>
    <t>008_VL1</t>
  </si>
  <si>
    <t>sample_output/008/008_VL1_cropped_pred_like_gt_hwf.npy</t>
  </si>
  <si>
    <t>sample_gt_cropped/008/008_VL1_label_hwf.npy</t>
  </si>
  <si>
    <t>512x512x672</t>
  </si>
  <si>
    <t>0.6698597182035236</t>
  </si>
  <si>
    <t>0.5036008061486693</t>
  </si>
  <si>
    <t>0.5591034290614707</t>
  </si>
  <si>
    <t>0.8353368006430326</t>
  </si>
  <si>
    <t>009</t>
  </si>
  <si>
    <t>009_VL1</t>
  </si>
  <si>
    <t>sample_output/009/009_VL1_cropped_pred_like_gt_hwf.npy</t>
  </si>
  <si>
    <t>sample_gt_cropped/009/009_VL1_label_hwf.npy</t>
  </si>
  <si>
    <t>512x512x495</t>
  </si>
  <si>
    <t>0.7756464620455074</t>
  </si>
  <si>
    <t>0.6335151065446074</t>
  </si>
  <si>
    <t>0.7613547149685801</t>
  </si>
  <si>
    <t>0.7904850279135931</t>
  </si>
  <si>
    <t>010</t>
  </si>
  <si>
    <t>010_VL1</t>
  </si>
  <si>
    <t>sample_output/010/010_VL1_cropped_pred_like_gt_hwf.npy</t>
  </si>
  <si>
    <t>sample_gt_cropped/010/010_VL1_label_hwf.npy</t>
  </si>
  <si>
    <t>512x512x600</t>
  </si>
  <si>
    <t>0.6999124826920721</t>
  </si>
  <si>
    <t>0.5383579746549452</t>
  </si>
  <si>
    <t>0.8267694859369275</t>
  </si>
  <si>
    <t>011</t>
  </si>
  <si>
    <t>011_VL1</t>
  </si>
  <si>
    <t>sample_output/011/011_VL1_cropped_pred_like_gt_hwf.npy</t>
  </si>
  <si>
    <t>sample_gt_cropped/011/011_VL1_label_hwf.npy</t>
  </si>
  <si>
    <t>512x512x430</t>
  </si>
  <si>
    <t>0.48412108266038734</t>
  </si>
  <si>
    <t>0.3193665913040246</t>
  </si>
  <si>
    <t>0.35029722256994456</t>
  </si>
  <si>
    <t>0.7834047972509627</t>
  </si>
  <si>
    <t>012</t>
  </si>
  <si>
    <t>012_VL1</t>
  </si>
  <si>
    <t>sample_output/012/012_VL1_cropped_pred_like_gt_hwf.npy</t>
  </si>
  <si>
    <t>sample_gt_cropped/012/012_VL1_label_hwf.npy</t>
  </si>
  <si>
    <t>512x512x220</t>
  </si>
  <si>
    <t>0.6596297954751891</t>
  </si>
  <si>
    <t>0.4921250810025589</t>
  </si>
  <si>
    <t>0.6200694526035613</t>
  </si>
  <si>
    <t>0.7045820286785411</t>
  </si>
  <si>
    <t>013</t>
  </si>
  <si>
    <t>013_VL1</t>
  </si>
  <si>
    <t>sample_output/013/013_VL1_cropped_pred_like_gt_hwf.npy</t>
  </si>
  <si>
    <t>sample_gt_cropped/013/013_VL1_label_hwf.npy</t>
  </si>
  <si>
    <t>512x512x421</t>
  </si>
  <si>
    <t>0.5561040722790562</t>
  </si>
  <si>
    <t>0.3851413814545589</t>
  </si>
  <si>
    <t>0.39702252144518774</t>
  </si>
  <si>
    <t>0.9279017413223272</t>
  </si>
  <si>
    <t>014</t>
  </si>
  <si>
    <t>014_VL1</t>
  </si>
  <si>
    <t>sample_output/014/014_VL1_cropped_pred_like_gt_hwf.npy</t>
  </si>
  <si>
    <t>sample_gt_cropped/014/014_VL1_label_hwf.npy</t>
  </si>
  <si>
    <t>512x512x350</t>
  </si>
  <si>
    <t>0.7978377496197038</t>
  </si>
  <si>
    <t>0.7187398492344925</t>
  </si>
  <si>
    <t>0.8964980875736337</t>
  </si>
  <si>
    <t>015</t>
  </si>
  <si>
    <t>015_VL1</t>
  </si>
  <si>
    <t>sample_output/015/015_VL1_cropped_pred_like_gt_hwf.npy</t>
  </si>
  <si>
    <t>sample_gt_cropped/015/015_VL1_label_hwf.npy</t>
  </si>
  <si>
    <t>512x512x501</t>
  </si>
  <si>
    <t>0.7553233286413212</t>
  </si>
  <si>
    <t>0.6068430027027152</t>
  </si>
  <si>
    <t>0.7221155339824143</t>
  </si>
  <si>
    <t>0.7917325900951607</t>
  </si>
  <si>
    <t>016</t>
  </si>
  <si>
    <t>016_VL1</t>
  </si>
  <si>
    <t>sample_output/016/016_VL1_cropped_pred_like_gt_hwf.npy</t>
  </si>
  <si>
    <t>sample_gt_cropped/016/016_VL1_label_hwf.npy</t>
  </si>
  <si>
    <t>512x512x581</t>
  </si>
  <si>
    <t>0.7056400332469399</t>
  </si>
  <si>
    <t>0.5451652178466695</t>
  </si>
  <si>
    <t>017</t>
  </si>
  <si>
    <t>017_VL1</t>
  </si>
  <si>
    <t>sample_output/017/017_VL1_cropped_pred_like_gt_hwf.npy</t>
  </si>
  <si>
    <t>sample_gt_cropped/017/017_VL1_label_hwf.npy</t>
  </si>
  <si>
    <t>0.7626946646721042</t>
  </si>
  <si>
    <t>0.8987312533982285</t>
  </si>
  <si>
    <t>018</t>
  </si>
  <si>
    <t>018_VL1</t>
  </si>
  <si>
    <t>sample_output/018/018_VL1_cropped_pred_like_gt_hwf.npy</t>
  </si>
  <si>
    <t>sample_gt_cropped/018/018_VL1_label_hwf.npy</t>
  </si>
  <si>
    <t>512x512x700</t>
  </si>
  <si>
    <t>0.8254335018005072</t>
  </si>
  <si>
    <t>0.7027558704133178</t>
  </si>
  <si>
    <t>0.8442222372056492</t>
  </si>
  <si>
    <t>019</t>
  </si>
  <si>
    <t>019_VL1</t>
  </si>
  <si>
    <t>sample_output/019/019_VL1_cropped_pred_like_gt_hwf.npy</t>
  </si>
  <si>
    <t>sample_gt_cropped/019/019_VL1_label_hwf.npy</t>
  </si>
  <si>
    <t>0.7135576730699745</t>
  </si>
  <si>
    <t>0.5546752140632789</t>
  </si>
  <si>
    <t>0.6878646361801996</t>
  </si>
  <si>
    <t>0.7412445500620032</t>
  </si>
  <si>
    <t>020</t>
  </si>
  <si>
    <t>020_VL1</t>
  </si>
  <si>
    <t>sample_output/020/020_VL1_cropped_pred_like_gt_hwf.npy</t>
  </si>
  <si>
    <t>sample_gt_cropped/020/020_VL1_label_hwf.npy</t>
  </si>
  <si>
    <t>512x512x570</t>
  </si>
  <si>
    <t>0.7177834431670596</t>
  </si>
  <si>
    <t>0.8511861272975366</t>
  </si>
  <si>
    <t>0.8207844414460522</t>
  </si>
  <si>
    <t>021</t>
  </si>
  <si>
    <t>021_VL1</t>
  </si>
  <si>
    <t>sample_output/021/021_VL1_cropped_pred_like_gt_hwf.npy</t>
  </si>
  <si>
    <t>sample_gt_cropped/021/021_VL1_label_hwf.npy</t>
  </si>
  <si>
    <t>512x512x330</t>
  </si>
  <si>
    <t>0.8886027202978342</t>
  </si>
  <si>
    <t>0.7995365262509582</t>
  </si>
  <si>
    <t>0.8478473986778678</t>
  </si>
  <si>
    <t>0.9334740437658221</t>
  </si>
  <si>
    <t>023</t>
  </si>
  <si>
    <t>023_VL1</t>
  </si>
  <si>
    <t>sample_output/023/023_VL1_cropped_pred_like_gt_hwf.npy</t>
  </si>
  <si>
    <t>sample_gt_cropped/023/023_VL1_label_hwf.npy</t>
  </si>
  <si>
    <t>512x512x401</t>
  </si>
  <si>
    <t>0.8212110493520901</t>
  </si>
  <si>
    <t>0.6966565549335354</t>
  </si>
  <si>
    <t>0.7940015602464956</t>
  </si>
  <si>
    <t>0.8503515868481196</t>
  </si>
  <si>
    <t>024</t>
  </si>
  <si>
    <t>024_VL1</t>
  </si>
  <si>
    <t>sample_output/024/024_VL1_cropped_pred_like_gt_hwf.npy</t>
  </si>
  <si>
    <t>sample_gt_cropped/024/024_VL1_label_hwf.npy</t>
  </si>
  <si>
    <t>512x512x301</t>
  </si>
  <si>
    <t>0.8204114509035103</t>
  </si>
  <si>
    <t>0.6955064556466809</t>
  </si>
  <si>
    <t>0.8145541629439705</t>
  </si>
  <si>
    <t>025</t>
  </si>
  <si>
    <t>025_VL1</t>
  </si>
  <si>
    <t>sample_output/025/025_VL1_cropped_pred_like_gt_hwf.npy</t>
  </si>
  <si>
    <t>sample_gt_cropped/025/025_VL1_label_hwf.npy</t>
  </si>
  <si>
    <t>0.6955177520053922</t>
  </si>
  <si>
    <t>0.5331753291964055</t>
  </si>
  <si>
    <t>0.6238999702837231</t>
  </si>
  <si>
    <t>0.7857097581542043</t>
  </si>
  <si>
    <t>026</t>
  </si>
  <si>
    <t>026_VL1</t>
  </si>
  <si>
    <t>sample_output/026/026_VL1_cropped_pred_like_gt_hwf.npy</t>
  </si>
  <si>
    <t>sample_gt_cropped/026/026_VL1_label_hwf.npy</t>
  </si>
  <si>
    <t>512x512x400</t>
  </si>
  <si>
    <t>0.7847517434140918</t>
  </si>
  <si>
    <t>0.6457542639219711</t>
  </si>
  <si>
    <t>0.7984329697678199</t>
  </si>
  <si>
    <t>027</t>
  </si>
  <si>
    <t>027_VL1</t>
  </si>
  <si>
    <t>sample_output/027/027_VL1_cropped_pred_like_gt_hwf.npy</t>
  </si>
  <si>
    <t>sample_gt_cropped/027/027_VL1_label_hwf.npy</t>
  </si>
  <si>
    <t>512x512x381</t>
  </si>
  <si>
    <t>0.7427333863111047</t>
  </si>
  <si>
    <t>0.5907524929273996</t>
  </si>
  <si>
    <t>0.6728347627550638</t>
  </si>
  <si>
    <t>0.8288387596616421</t>
  </si>
  <si>
    <t>028</t>
  </si>
  <si>
    <t>028_VL1</t>
  </si>
  <si>
    <t>sample_output/028/028_VL1_cropped_pred_like_gt_hwf.npy</t>
  </si>
  <si>
    <t>sample_gt_cropped/028/028_VL1_label_hwf.npy</t>
  </si>
  <si>
    <t>512x512x371</t>
  </si>
  <si>
    <t>0.8601393159950349</t>
  </si>
  <si>
    <t>0.7546003893852068</t>
  </si>
  <si>
    <t>0.8245976374724967</t>
  </si>
  <si>
    <t>0.8988828229756725</t>
  </si>
  <si>
    <t>030</t>
  </si>
  <si>
    <t>030_VL1</t>
  </si>
  <si>
    <t>sample_output/030/030_VL1_cropped_pred_like_gt_hwf.npy</t>
  </si>
  <si>
    <t>sample_gt_cropped/030/030_VL1_label_hwf.npy</t>
  </si>
  <si>
    <t>512x512x340</t>
  </si>
  <si>
    <t>0.6711339035769619</t>
  </si>
  <si>
    <t>0.5050425361768803</t>
  </si>
  <si>
    <t>0.6254538144061683</t>
  </si>
  <si>
    <t>0.7240122166610744</t>
  </si>
  <si>
    <t>031</t>
  </si>
  <si>
    <t>031_VL1</t>
  </si>
  <si>
    <t>sample_output/031/031_VL1_cropped_pred_like_gt_hwf.npy</t>
  </si>
  <si>
    <t>sample_gt_cropped/031/031_VL1_label_hwf.npy</t>
  </si>
  <si>
    <t>512x512x601</t>
  </si>
  <si>
    <t>0.8018360214537699</t>
  </si>
  <si>
    <t>0.6692206040334001</t>
  </si>
  <si>
    <t>0.7729638974840546</t>
  </si>
  <si>
    <t>0.8329487280295407</t>
  </si>
  <si>
    <t>032</t>
  </si>
  <si>
    <t>032_VL1</t>
  </si>
  <si>
    <t>sample_output/032/032_VL1_cropped_pred_like_gt_hwf.npy</t>
  </si>
  <si>
    <t>sample_gt_cropped/032/032_VL1_label_hwf.npy</t>
  </si>
  <si>
    <t>0.46277024735652716</t>
  </si>
  <si>
    <t>0.30104169305904444</t>
  </si>
  <si>
    <t>0.3751288509845819</t>
  </si>
  <si>
    <t>0.6038471188059773</t>
  </si>
  <si>
    <t>033</t>
  </si>
  <si>
    <t>033_VL1</t>
  </si>
  <si>
    <t>sample_output/033/033_VL1_cropped_pred_like_gt_hwf.npy</t>
  </si>
  <si>
    <t>sample_gt_cropped/033/033_VL1_label_hwf.npy</t>
  </si>
  <si>
    <t>512x512x551</t>
  </si>
  <si>
    <t>0.7614008328023736</t>
  </si>
  <si>
    <t>0.6147273895921223</t>
  </si>
  <si>
    <t>0.6875420249258298</t>
  </si>
  <si>
    <t>0.8530379450202794</t>
  </si>
  <si>
    <t>034</t>
  </si>
  <si>
    <t>034_VL1</t>
  </si>
  <si>
    <t>sample_output/034/034_VL1_cropped_pred_like_gt_hwf.npy</t>
  </si>
  <si>
    <t>sample_gt_cropped/034/034_VL1_label_hwf.npy</t>
  </si>
  <si>
    <t>512x512x351</t>
  </si>
  <si>
    <t>0.6656728505729942</t>
  </si>
  <si>
    <t>0.4988827896208595</t>
  </si>
  <si>
    <t>0.6634826259255112</t>
  </si>
  <si>
    <t>0.6678775834289403</t>
  </si>
  <si>
    <t>035</t>
  </si>
  <si>
    <t>035_VL1</t>
  </si>
  <si>
    <t>sample_output/035/035_VL1_cropped_pred_like_gt_hwf.npy</t>
  </si>
  <si>
    <t>sample_gt_cropped/035/035_VL1_label_hwf.npy</t>
  </si>
  <si>
    <t>0.7231917254334147</t>
  </si>
  <si>
    <t>0.5664058886827807</t>
  </si>
  <si>
    <t>0.9635947052525615</t>
  </si>
  <si>
    <t>038</t>
  </si>
  <si>
    <t>038_VL1</t>
  </si>
  <si>
    <t>sample_output/038/038_VL1_cropped_pred_like_gt_hwf.npy</t>
  </si>
  <si>
    <t>sample_gt_cropped/038/038_VL1_label_hwf.npy</t>
  </si>
  <si>
    <t>512x512x451</t>
  </si>
  <si>
    <t>0.7420752935149931</t>
  </si>
  <si>
    <t>0.5899202787649818</t>
  </si>
  <si>
    <t>0.7087255210756601</t>
  </si>
  <si>
    <t>0.7787186616275523</t>
  </si>
  <si>
    <t>039</t>
  </si>
  <si>
    <t>039_VL1</t>
  </si>
  <si>
    <t>sample_output/039/039_VL1_cropped_pred_like_gt_hwf.npy</t>
  </si>
  <si>
    <t>sample_gt_cropped/039/039_VL1_label_hwf.npy</t>
  </si>
  <si>
    <t>0.6698033796110742</t>
  </si>
  <si>
    <t>0.5035371232677133</t>
  </si>
  <si>
    <t>0.5611175423461073</t>
  </si>
  <si>
    <t>0.8307075344224135</t>
  </si>
  <si>
    <t>040</t>
  </si>
  <si>
    <t>040_VL1</t>
  </si>
  <si>
    <t>sample_output/040/040_VL1_cropped_pred_like_gt_hwf.npy</t>
  </si>
  <si>
    <t>sample_gt_cropped/040/040_VL1_label_hwf.npy</t>
  </si>
  <si>
    <t>0.8158520674297779</t>
  </si>
  <si>
    <t>0.9045702318620343</t>
  </si>
  <si>
    <t>041</t>
  </si>
  <si>
    <t>041_VL1</t>
  </si>
  <si>
    <t>sample_output/041/041_VL1_cropped_pred_like_gt_hwf.npy</t>
  </si>
  <si>
    <t>sample_gt_cropped/041/041_VL1_label_hwf.npy</t>
  </si>
  <si>
    <t>512x512x621</t>
  </si>
  <si>
    <t>0.5538580431752798</t>
  </si>
  <si>
    <t>0.3829900934424034</t>
  </si>
  <si>
    <t>0.3852106576897721</t>
  </si>
  <si>
    <t>0.9851717648460914</t>
  </si>
  <si>
    <t>042</t>
  </si>
  <si>
    <t>042_VL1</t>
  </si>
  <si>
    <t>sample_output/042/042_VL1_cropped_pred_like_gt_hwf.npy</t>
  </si>
  <si>
    <t>sample_gt_cropped/042/042_VL1_label_hwf.npy</t>
  </si>
  <si>
    <t>0.7941160870464229</t>
  </si>
  <si>
    <t>0.6585344397715619</t>
  </si>
  <si>
    <t>0.7412224025144545</t>
  </si>
  <si>
    <t>0.8551388581333375</t>
  </si>
  <si>
    <t>044</t>
  </si>
  <si>
    <t>044_VL1</t>
  </si>
  <si>
    <t>sample_output/044/044_VL1_cropped_pred_like_gt_hwf.npy</t>
  </si>
  <si>
    <t>sample_gt_cropped/044/044_VL1_label_hwf.npy</t>
  </si>
  <si>
    <t>0.6556471935725567</t>
  </si>
  <si>
    <t>0.48770470849457254</t>
  </si>
  <si>
    <t>0.5458257511790076</t>
  </si>
  <si>
    <t>0.8207926268826006</t>
  </si>
  <si>
    <t>044_VL2</t>
  </si>
  <si>
    <t>sample_output/044/044_VL2_cropped_pred_like_gt_hwf.npy</t>
  </si>
  <si>
    <t>sample_gt_cropped/044/044_VL2_label_hwf.npy</t>
  </si>
  <si>
    <t>0.8569157427024027</t>
  </si>
  <si>
    <t>0.7496523001097618</t>
  </si>
  <si>
    <t>0.8219226017800679</t>
  </si>
  <si>
    <t>0.8950210301957291</t>
  </si>
  <si>
    <t>045</t>
  </si>
  <si>
    <t>045_VL1</t>
  </si>
  <si>
    <t>sample_output/045/045_VL1_cropped_pred_like_gt_hwf.npy</t>
  </si>
  <si>
    <t>sample_gt_cropped/045/045_VL1_label_hwf.npy</t>
  </si>
  <si>
    <t>0.4938462040475367</t>
  </si>
  <si>
    <t>0.6239048498347144</t>
  </si>
  <si>
    <t>0.7031788007345544</t>
  </si>
  <si>
    <t>046</t>
  </si>
  <si>
    <t>046_VL1</t>
  </si>
  <si>
    <t>sample_output/046/046_VL1_cropped_pred_like_gt_hwf.npy</t>
  </si>
  <si>
    <t>sample_gt_cropped/046/046_VL1_label_hwf.npy</t>
  </si>
  <si>
    <t>0.8434530737499571</t>
  </si>
  <si>
    <t>0.7292856473059395</t>
  </si>
  <si>
    <t>0.7796854490091082</t>
  </si>
  <si>
    <t>0.9185804099751399</t>
  </si>
  <si>
    <t>047</t>
  </si>
  <si>
    <t>047_VL1</t>
  </si>
  <si>
    <t>sample_output/047/047_VL1_cropped_pred_like_gt_hwf.npy</t>
  </si>
  <si>
    <t>sample_gt_cropped/047/047_VL1_label_hwf.npy</t>
  </si>
  <si>
    <t>0.8105741143832099</t>
  </si>
  <si>
    <t>0.6814834990436395</t>
  </si>
  <si>
    <t>0.7627771782699656</t>
  </si>
  <si>
    <t>0.8647615686313952</t>
  </si>
  <si>
    <t>048</t>
  </si>
  <si>
    <t>048_VL1</t>
  </si>
  <si>
    <t>sample_output/048/048_VL1_cropped_pred_like_gt_hwf.npy</t>
  </si>
  <si>
    <t>sample_gt_cropped/048/048_VL1_label_hwf.npy</t>
  </si>
  <si>
    <t>0.8263669119688234</t>
  </si>
  <si>
    <t>0.7041101008451387</t>
  </si>
  <si>
    <t>0.7681214618541806</t>
  </si>
  <si>
    <t>0.8941704606892888</t>
  </si>
  <si>
    <t>049</t>
  </si>
  <si>
    <t>049_VL1</t>
  </si>
  <si>
    <t>sample_output/049/049_VL1_cropped_pred_like_gt_hwf.npy</t>
  </si>
  <si>
    <t>sample_gt_cropped/049/049_VL1_label_hwf.npy</t>
  </si>
  <si>
    <t>512x512x299</t>
  </si>
  <si>
    <t>0.7564359392455291</t>
  </si>
  <si>
    <t>0.7076952231985155</t>
  </si>
  <si>
    <t>0.8123870389381299</t>
  </si>
  <si>
    <t>050</t>
  </si>
  <si>
    <t>050_VL1</t>
  </si>
  <si>
    <t>sample_output/050/050_VL1_cropped_pred_like_gt_hwf.npy</t>
  </si>
  <si>
    <t>sample_gt_cropped/050/050_VL1_label_hwf.npy</t>
  </si>
  <si>
    <t>512x512x300</t>
  </si>
  <si>
    <t>0.7087322310422509</t>
  </si>
  <si>
    <t>0.5488654236404479</t>
  </si>
  <si>
    <t>0.6788442411249216</t>
  </si>
  <si>
    <t>0.7413732322438883</t>
  </si>
  <si>
    <t>051</t>
  </si>
  <si>
    <t>051_VL1</t>
  </si>
  <si>
    <t>sample_output/051/051_VL1_cropped_pred_like_gt_hwf.npy</t>
  </si>
  <si>
    <t>sample_gt_cropped/051/051_VL1_label_hwf.npy</t>
  </si>
  <si>
    <t>0.4312255019838164</t>
  </si>
  <si>
    <t>0.5112119527465419</t>
  </si>
  <si>
    <t>0.7337637251122384</t>
  </si>
  <si>
    <t>052</t>
  </si>
  <si>
    <t>052_VL1</t>
  </si>
  <si>
    <t>sample_output/052/052_VL1_cropped_pred_like_gt_hwf.npy</t>
  </si>
  <si>
    <t>sample_gt_cropped/052/052_VL1_label_hwf.npy</t>
  </si>
  <si>
    <t>512x512x360</t>
  </si>
  <si>
    <t>0.6963656145981914</t>
  </si>
  <si>
    <t>0.5341724814841825</t>
  </si>
  <si>
    <t>0.6334100328699563</t>
  </si>
  <si>
    <t>0.7732168027602371</t>
  </si>
  <si>
    <t>055</t>
  </si>
  <si>
    <t>055_VL1</t>
  </si>
  <si>
    <t>sample_output/055/055_VL1_cropped_pred_like_gt_hwf.npy</t>
  </si>
  <si>
    <t>sample_gt_cropped/055/055_VL1_label_hwf.npy</t>
  </si>
  <si>
    <t>0.7259639909389476</t>
  </si>
  <si>
    <t>056</t>
  </si>
  <si>
    <t>056_VL1</t>
  </si>
  <si>
    <t>sample_output/056/056_VL1_cropped_pred_like_gt_hwf.npy</t>
  </si>
  <si>
    <t>sample_gt_cropped/056/056_VL1_label_hwf.npy</t>
  </si>
  <si>
    <t>0.7716809380036562</t>
  </si>
  <si>
    <t>0.7236046155651368</t>
  </si>
  <si>
    <t>0.8266002981142611</t>
  </si>
  <si>
    <t>057</t>
  </si>
  <si>
    <t>057_VL1</t>
  </si>
  <si>
    <t>sample_output/057/057_VL1_cropped_pred_like_gt_hwf.npy</t>
  </si>
  <si>
    <t>sample_gt_cropped/057/057_VL1_label_hwf.npy</t>
  </si>
  <si>
    <t>0.7769820542620974</t>
  </si>
  <si>
    <t>0.6352989806648411</t>
  </si>
  <si>
    <t>0.7355920790276885</t>
  </si>
  <si>
    <t>0.8233075663971987</t>
  </si>
  <si>
    <t>058</t>
  </si>
  <si>
    <t>058_VL1</t>
  </si>
  <si>
    <t>sample_output/058/058_VL1_cropped_pred_like_gt_hwf.npy</t>
  </si>
  <si>
    <t>sample_gt_cropped/058/058_VL1_label_hwf.npy</t>
  </si>
  <si>
    <t>0.5667563530782757</t>
  </si>
  <si>
    <t>0.39543615232171936</t>
  </si>
  <si>
    <t>0.4942370417745494</t>
  </si>
  <si>
    <t>0.6642167571176348</t>
  </si>
  <si>
    <t>059</t>
  </si>
  <si>
    <t>059_VL1</t>
  </si>
  <si>
    <t>sample_output/059/059_VL1_cropped_pred_like_gt_hwf.npy</t>
  </si>
  <si>
    <t>sample_gt_cropped/059/059_VL1_label_hwf.npy</t>
  </si>
  <si>
    <t>0.5498696514107438</t>
  </si>
  <si>
    <t>0.37918636207129836</t>
  </si>
  <si>
    <t>0.3896650180065786</t>
  </si>
  <si>
    <t>0.9337776016958048</t>
  </si>
  <si>
    <t>059_VL2</t>
  </si>
  <si>
    <t>sample_output/059/059_VL2_cropped_pred_like_gt_hwf.npy</t>
  </si>
  <si>
    <t>sample_gt_cropped/059/059_VL2_label_hwf.npy</t>
  </si>
  <si>
    <t>0.8203280972696152</t>
  </si>
  <si>
    <t>0.6953866540102736</t>
  </si>
  <si>
    <t>0.7443180467268371</t>
  </si>
  <si>
    <t>0.9136281632439144</t>
  </si>
  <si>
    <t>060</t>
  </si>
  <si>
    <t>060_VL1</t>
  </si>
  <si>
    <t>sample_output/060/060_VL1_cropped_pred_like_gt_hwf.npy</t>
  </si>
  <si>
    <t>sample_gt_cropped/060/060_VL1_label_hwf.npy</t>
  </si>
  <si>
    <t>0.5876832684019336</t>
  </si>
  <si>
    <t>0.7034281123439511</t>
  </si>
  <si>
    <t>0.7812576437137502</t>
  </si>
  <si>
    <t>061</t>
  </si>
  <si>
    <t>061_VL1</t>
  </si>
  <si>
    <t>sample_output/061/061_VL1_cropped_pred_like_gt_hwf.npy</t>
  </si>
  <si>
    <t>sample_gt_cropped/061/061_VL1_label_hwf.npy</t>
  </si>
  <si>
    <t>0.8228234519164906</t>
  </si>
  <si>
    <t>0.6989804997866125</t>
  </si>
  <si>
    <t>0.7722054570226599</t>
  </si>
  <si>
    <t>0.8805429599089911</t>
  </si>
  <si>
    <t>062</t>
  </si>
  <si>
    <t>062_VL1</t>
  </si>
  <si>
    <t>sample_output/062/062_VL1_cropped_pred_like_gt_hwf.npy</t>
  </si>
  <si>
    <t>sample_gt_cropped/062/062_VL1_label_hwf.npy</t>
  </si>
  <si>
    <t>512x512x230</t>
  </si>
  <si>
    <t>0.5544994654980626</t>
  </si>
  <si>
    <t>0.38360377755869957</t>
  </si>
  <si>
    <t>0.39633291652537145</t>
  </si>
  <si>
    <t>0.9227431758348345</t>
  </si>
  <si>
    <t>062_VL2</t>
  </si>
  <si>
    <t>sample_output/062/062_VL2_cropped_pred_like_gt_hwf.npy</t>
  </si>
  <si>
    <t>sample_gt_cropped/062/062_VL2_label_hwf.npy</t>
  </si>
  <si>
    <t>0.7125482786703563</t>
  </si>
  <si>
    <t>0.5534563097515273</t>
  </si>
  <si>
    <t>0.7700975322415585</t>
  </si>
  <si>
    <t>063</t>
  </si>
  <si>
    <t>063_VL1</t>
  </si>
  <si>
    <t>sample_output/063/063_VL1_cropped_pred_like_gt_hwf.npy</t>
  </si>
  <si>
    <t>sample_gt_cropped/063/063_VL1_label_hwf.npy</t>
  </si>
  <si>
    <t>0.8698332373980839</t>
  </si>
  <si>
    <t>0.7696503438090131</t>
  </si>
  <si>
    <t>0.8318744429181606</t>
  </si>
  <si>
    <t>0.9114218131556621</t>
  </si>
  <si>
    <t>064</t>
  </si>
  <si>
    <t>064_VL1</t>
  </si>
  <si>
    <t>sample_output/064/064_VL1_cropped_pred_like_gt_hwf.npy</t>
  </si>
  <si>
    <t>sample_gt_cropped/064/064_VL1_label_hwf.npy</t>
  </si>
  <si>
    <t>0.6793719461728911</t>
  </si>
  <si>
    <t>0.5144309513977898</t>
  </si>
  <si>
    <t>0.8575997891663165</t>
  </si>
  <si>
    <t>065</t>
  </si>
  <si>
    <t>065_VL1</t>
  </si>
  <si>
    <t>sample_output/065/065_VL1_cropped_pred_like_gt_hwf.npy</t>
  </si>
  <si>
    <t>sample_gt_cropped/065/065_VL1_label_hwf.npy</t>
  </si>
  <si>
    <t>0.8312766736008239</t>
  </si>
  <si>
    <t>0.7112690016737993</t>
  </si>
  <si>
    <t>0.7469650105909976</t>
  </si>
  <si>
    <t>0.9370428619531385</t>
  </si>
  <si>
    <t>066</t>
  </si>
  <si>
    <t>066_VL1</t>
  </si>
  <si>
    <t>sample_output/066/066_VL1_cropped_pred_like_gt_hwf.npy</t>
  </si>
  <si>
    <t>sample_gt_cropped/066/066_VL1_label_hwf.npy</t>
  </si>
  <si>
    <t>0.7633816398295843</t>
  </si>
  <si>
    <t>0.6173138491364338</t>
  </si>
  <si>
    <t>0.6849968747285744</t>
  </si>
  <si>
    <t>0.8620237367656369</t>
  </si>
  <si>
    <t>067</t>
  </si>
  <si>
    <t>067_VL1</t>
  </si>
  <si>
    <t>sample_output/067/067_VL1_cropped_pred_like_gt_hwf.npy</t>
  </si>
  <si>
    <t>sample_gt_cropped/067/067_VL1_label_hwf.npy</t>
  </si>
  <si>
    <t>0.7673838551963001</t>
  </si>
  <si>
    <t>0.6225651500926185</t>
  </si>
  <si>
    <t>0.6719702866545755</t>
  </si>
  <si>
    <t>0.8943771409657216</t>
  </si>
  <si>
    <t>068</t>
  </si>
  <si>
    <t>068_VL1</t>
  </si>
  <si>
    <t>sample_output/068/068_VL1_cropped_pred_like_gt_hwf.npy</t>
  </si>
  <si>
    <t>sample_gt_cropped/068/068_VL1_label_hwf.npy</t>
  </si>
  <si>
    <t>0.6845521103953959</t>
  </si>
  <si>
    <t>0.7533003787771183</t>
  </si>
  <si>
    <t>0.8823652914844159</t>
  </si>
  <si>
    <t>069</t>
  </si>
  <si>
    <t>069_VL1</t>
  </si>
  <si>
    <t>sample_output/069/069_VL1_cropped_pred_like_gt_hwf.npy</t>
  </si>
  <si>
    <t>sample_gt_cropped/069/069_VL1_label_hwf.npy</t>
  </si>
  <si>
    <t>0.7146618038861482</t>
  </si>
  <si>
    <t>0.5560107106805728</t>
  </si>
  <si>
    <t>0.6529425038972417</t>
  </si>
  <si>
    <t>0.7892671745364872</t>
  </si>
  <si>
    <t>070</t>
  </si>
  <si>
    <t>070_VL1</t>
  </si>
  <si>
    <t>sample_output/070/070_VL1_cropped_pred_like_gt_hwf.npy</t>
  </si>
  <si>
    <t>sample_gt_cropped/070/070_VL1_label_hwf.npy</t>
  </si>
  <si>
    <t>0.7745933397574554</t>
  </si>
  <si>
    <t>0.6321112532586857</t>
  </si>
  <si>
    <t>0.8172373471563955</t>
  </si>
  <si>
    <t>071</t>
  </si>
  <si>
    <t>071_VL1</t>
  </si>
  <si>
    <t>sample_output/071/071_VL1_cropped_pred_like_gt_hwf.npy</t>
  </si>
  <si>
    <t>sample_gt_cropped/071/071_VL1_label_hwf.npy</t>
  </si>
  <si>
    <t>0.8074136616846788</t>
  </si>
  <si>
    <t>0.6770274283246045</t>
  </si>
  <si>
    <t>0.7213296526373089</t>
  </si>
  <si>
    <t>072</t>
  </si>
  <si>
    <t>072_VL1</t>
  </si>
  <si>
    <t>sample_output/072/072_VL1_cropped_pred_like_gt_hwf.npy</t>
  </si>
  <si>
    <t>sample_gt_cropped/072/072_VL1_label_hwf.npy</t>
  </si>
  <si>
    <t>512x512x251</t>
  </si>
  <si>
    <t>0.7894773472133761</t>
  </si>
  <si>
    <t>0.6521789124689231</t>
  </si>
  <si>
    <t>0.7233986908737675</t>
  </si>
  <si>
    <t>0.8688414310289403</t>
  </si>
  <si>
    <t>073</t>
  </si>
  <si>
    <t>073_VL1</t>
  </si>
  <si>
    <t>sample_output/073/073_VL1_cropped_pred_like_gt_hwf.npy</t>
  </si>
  <si>
    <t>sample_gt_cropped/073/073_VL1_label_hwf.npy</t>
  </si>
  <si>
    <t>0.6123640764978073</t>
  </si>
  <si>
    <t>0.7430875421121653</t>
  </si>
  <si>
    <t>0.7768323780962997</t>
  </si>
  <si>
    <t>074</t>
  </si>
  <si>
    <t>074_VL1</t>
  </si>
  <si>
    <t>sample_output/074/074_VL1_cropped_pred_like_gt_hwf.npy</t>
  </si>
  <si>
    <t>sample_gt_cropped/074/074_VL1_label_hwf.npy</t>
  </si>
  <si>
    <t>0.8167332126429734</t>
  </si>
  <si>
    <t>0.6902358972377214</t>
  </si>
  <si>
    <t>0.7474461223191933</t>
  </si>
  <si>
    <t>0.9001783415949794</t>
  </si>
  <si>
    <t>075</t>
  </si>
  <si>
    <t>075_VL1</t>
  </si>
  <si>
    <t>sample_output/075/075_VL1_cropped_pred_like_gt_hwf.npy</t>
  </si>
  <si>
    <t>sample_gt_cropped/075/075_VL1_label_hwf.npy</t>
  </si>
  <si>
    <t>0.7076539085001016</t>
  </si>
  <si>
    <t>0.5475730635582282</t>
  </si>
  <si>
    <t>0.7506087563108131</t>
  </si>
  <si>
    <t>076</t>
  </si>
  <si>
    <t>076_VL1</t>
  </si>
  <si>
    <t>sample_output/076/076_VL1_cropped_pred_like_gt_hwf.npy</t>
  </si>
  <si>
    <t>sample_gt_cropped/076/076_VL1_label_hwf.npy</t>
  </si>
  <si>
    <t>0.7816987191725064</t>
  </si>
  <si>
    <t>0.6416300561069441</t>
  </si>
  <si>
    <t>0.7286757819046564</t>
  </si>
  <si>
    <t>0.8430437759987273</t>
  </si>
  <si>
    <t>077</t>
  </si>
  <si>
    <t>077_VL1</t>
  </si>
  <si>
    <t>sample_output/077/077_VL1_cropped_pred_like_gt_hwf.npy</t>
  </si>
  <si>
    <t>sample_gt_cropped/077/077_VL1_label_hwf.npy</t>
  </si>
  <si>
    <t>0.7546882329534073</t>
  </si>
  <si>
    <t>0.6060235299496459</t>
  </si>
  <si>
    <t>0.6450821436412013</t>
  </si>
  <si>
    <t>0.9091646566799854</t>
  </si>
  <si>
    <t>078</t>
  </si>
  <si>
    <t>078_VL1</t>
  </si>
  <si>
    <t>sample_output/078/078_VL1_cropped_pred_like_gt_hwf.npy</t>
  </si>
  <si>
    <t>sample_gt_cropped/078/078_VL1_label_hwf.npy</t>
  </si>
  <si>
    <t>512x512x331</t>
  </si>
  <si>
    <t>0.7763335631975263</t>
  </si>
  <si>
    <t>0.6344323418938747</t>
  </si>
  <si>
    <t>0.7335943777793136</t>
  </si>
  <si>
    <t>0.8243607973715704</t>
  </si>
  <si>
    <t>079</t>
  </si>
  <si>
    <t>079_VL1</t>
  </si>
  <si>
    <t>sample_output/079/079_VL1_cropped_pred_like_gt_hwf.npy</t>
  </si>
  <si>
    <t>sample_gt_cropped/079/079_VL1_label_hwf.npy</t>
  </si>
  <si>
    <t>512x512x450</t>
  </si>
  <si>
    <t>0.5734594253734671</t>
  </si>
  <si>
    <t>0.40199307021014685</t>
  </si>
  <si>
    <t>0.5097191879726274</t>
  </si>
  <si>
    <t>080</t>
  </si>
  <si>
    <t>080_VL1</t>
  </si>
  <si>
    <t>sample_output/080/080_VL1_cropped_pred_like_gt_hwf.npy</t>
  </si>
  <si>
    <t>sample_gt_cropped/080/080_VL1_label_hwf.npy</t>
  </si>
  <si>
    <t>0.8244090110276964</t>
  </si>
  <si>
    <t>0.7012719719367626</t>
  </si>
  <si>
    <t>0.7606944595624252</t>
  </si>
  <si>
    <t>081</t>
  </si>
  <si>
    <t>081_VL1</t>
  </si>
  <si>
    <t>sample_output/081/081_VL1_cropped_pred_like_gt_hwf.npy</t>
  </si>
  <si>
    <t>sample_gt_cropped/081/081_VL1_label_hwf.npy</t>
  </si>
  <si>
    <t>0.9104342879626844</t>
  </si>
  <si>
    <t>0.8355937396931447</t>
  </si>
  <si>
    <t>0.8882135184855897</t>
  </si>
  <si>
    <t>082</t>
  </si>
  <si>
    <t>082_VL1</t>
  </si>
  <si>
    <t>sample_output/082/082_VL1_cropped_pred_like_gt_hwf.npy</t>
  </si>
  <si>
    <t>sample_gt_cropped/082/082_VL1_label_hwf.npy</t>
  </si>
  <si>
    <t>512x512x125</t>
  </si>
  <si>
    <t>0.7645478165506427</t>
  </si>
  <si>
    <t>0.7861652567401678</t>
  </si>
  <si>
    <t>0.7440874046612383</t>
  </si>
  <si>
    <t>083</t>
  </si>
  <si>
    <t>083_VL1</t>
  </si>
  <si>
    <t>sample_output/083/083_VL1_cropped_pred_like_gt_hwf.npy</t>
  </si>
  <si>
    <t>sample_gt_cropped/083/083_VL1_label_hwf.npy</t>
  </si>
  <si>
    <t>512x512x370</t>
  </si>
  <si>
    <t>0.7077601463956285</t>
  </si>
  <si>
    <t>0.5477002929614909</t>
  </si>
  <si>
    <t>0.6005504619882168</t>
  </si>
  <si>
    <t>0.8615660861829402</t>
  </si>
  <si>
    <t>084</t>
  </si>
  <si>
    <t>084_VL1</t>
  </si>
  <si>
    <t>sample_output/084/084_VL1_cropped_pred_like_gt_hwf.npy</t>
  </si>
  <si>
    <t>sample_gt_cropped/084/084_VL1_label_hwf.npy</t>
  </si>
  <si>
    <t>0.7284555295626547</t>
  </si>
  <si>
    <t>0.5728903286505612</t>
  </si>
  <si>
    <t>0.6512798705444368</t>
  </si>
  <si>
    <t>0.8263803216661789</t>
  </si>
  <si>
    <t>085</t>
  </si>
  <si>
    <t>085_VL1</t>
  </si>
  <si>
    <t>sample_output/085/085_VL1_cropped_pred_like_gt_hwf.npy</t>
  </si>
  <si>
    <t>sample_gt_cropped/085/085_VL1_label_hwf.npy</t>
  </si>
  <si>
    <t>0.7440431170327658</t>
  </si>
  <si>
    <t>0.5924113535449901</t>
  </si>
  <si>
    <t>0.6987028848396433</t>
  </si>
  <si>
    <t>0.7956761382214005</t>
  </si>
  <si>
    <t>086</t>
  </si>
  <si>
    <t>086_VL1</t>
  </si>
  <si>
    <t>sample_output/086/086_VL1_cropped_pred_like_gt_hwf.npy</t>
  </si>
  <si>
    <t>sample_gt_cropped/086/086_VL1_label_hwf.npy</t>
  </si>
  <si>
    <t>0.46434347712193996</t>
  </si>
  <si>
    <t>0.5365384022149552</t>
  </si>
  <si>
    <t>0.7753267861796536</t>
  </si>
  <si>
    <t>087</t>
  </si>
  <si>
    <t>087_VL1</t>
  </si>
  <si>
    <t>sample_output/087/087_VL1_cropped_pred_like_gt_hwf.npy</t>
  </si>
  <si>
    <t>sample_gt_cropped/087/087_VL1_label_hwf.npy</t>
  </si>
  <si>
    <t>0.7248176697923274</t>
  </si>
  <si>
    <t>0.5684031629220314</t>
  </si>
  <si>
    <t>0.6383038181235063</t>
  </si>
  <si>
    <t>0.8384601283064831</t>
  </si>
  <si>
    <t>088</t>
  </si>
  <si>
    <t>088_VL1</t>
  </si>
  <si>
    <t>sample_output/088/088_VL1_cropped_pred_like_gt_hwf.npy</t>
  </si>
  <si>
    <t>sample_gt_cropped/088/088_VL1_label_hwf.npy</t>
  </si>
  <si>
    <t>512x512x391</t>
  </si>
  <si>
    <t>0.8165218161160378</t>
  </si>
  <si>
    <t>0.7114992703263924</t>
  </si>
  <si>
    <t>0.9579175141731943</t>
  </si>
  <si>
    <t>089</t>
  </si>
  <si>
    <t>089_VL1</t>
  </si>
  <si>
    <t>sample_output/089/089_VL1_cropped_pred_like_gt_hwf.npy</t>
  </si>
  <si>
    <t>sample_gt_cropped/089/089_VL1_label_hwf.npy</t>
  </si>
  <si>
    <t>0.8777328676994749</t>
  </si>
  <si>
    <t>0.7821068998966568</t>
  </si>
  <si>
    <t>0.8409605036517249</t>
  </si>
  <si>
    <t>0.9178681432130074</t>
  </si>
  <si>
    <t>090</t>
  </si>
  <si>
    <t>090_VL1</t>
  </si>
  <si>
    <t>sample_output/090/090_VL1_cropped_pred_like_gt_hwf.npy</t>
  </si>
  <si>
    <t>sample_gt_cropped/090/090_VL1_label_hwf.npy</t>
  </si>
  <si>
    <t>512x512x200</t>
  </si>
  <si>
    <t>0.7734128067917213</t>
  </si>
  <si>
    <t>0.6305404222986968</t>
  </si>
  <si>
    <t>0.6604002801130082</t>
  </si>
  <si>
    <t>0.9330899915895711</t>
  </si>
  <si>
    <t>091</t>
  </si>
  <si>
    <t>091_VL1</t>
  </si>
  <si>
    <t>sample_output/091/091_VL1_cropped_pred_like_gt_hwf.npy</t>
  </si>
  <si>
    <t>sample_gt_cropped/091/091_VL1_label_hwf.npy</t>
  </si>
  <si>
    <t>0.7591206677323294</t>
  </si>
  <si>
    <t>0.6117602638647054</t>
  </si>
  <si>
    <t>0.7480699446920277</t>
  </si>
  <si>
    <t>0.7705027755618632</t>
  </si>
  <si>
    <t>092</t>
  </si>
  <si>
    <t>092_VL1</t>
  </si>
  <si>
    <t>sample_output/092/092_VL1_cropped_pred_like_gt_hwf.npy</t>
  </si>
  <si>
    <t>sample_gt_cropped/092/092_VL1_label_hwf.npy</t>
  </si>
  <si>
    <t>0.6498584907123321</t>
  </si>
  <si>
    <t>0.4813262063583219</t>
  </si>
  <si>
    <t>0.6174404900696017</t>
  </si>
  <si>
    <t>0.6858692652557776</t>
  </si>
  <si>
    <t>093</t>
  </si>
  <si>
    <t>093_VL1</t>
  </si>
  <si>
    <t>sample_output/093/093_VL1_cropped_pred_like_gt_hwf.npy</t>
  </si>
  <si>
    <t>sample_gt_cropped/093/093_VL1_label_hwf.npy</t>
  </si>
  <si>
    <t>0.8017790561280502</t>
  </si>
  <si>
    <t>0.6691412466361746</t>
  </si>
  <si>
    <t>0.7294872895768861</t>
  </si>
  <si>
    <t>0.8899750683047083</t>
  </si>
  <si>
    <t>094</t>
  </si>
  <si>
    <t>094_VL1</t>
  </si>
  <si>
    <t>sample_output/094/094_VL1_cropped_pred_like_gt_hwf.npy</t>
  </si>
  <si>
    <t>sample_gt_cropped/094/094_VL1_label_hwf.npy</t>
  </si>
  <si>
    <t>0.7510956421245994</t>
  </si>
  <si>
    <t>0.6014036522399052</t>
  </si>
  <si>
    <t>0.6991817124109405</t>
  </si>
  <si>
    <t>0.8113370559811705</t>
  </si>
  <si>
    <t>095</t>
  </si>
  <si>
    <t>095_VL1</t>
  </si>
  <si>
    <t>sample_output/095/095_VL1_cropped_pred_like_gt_hwf.npy</t>
  </si>
  <si>
    <t>sample_gt_cropped/095/095_VL1_label_hwf.npy</t>
  </si>
  <si>
    <t>0.6206687131598668</t>
  </si>
  <si>
    <t>0.4499779850435621</t>
  </si>
  <si>
    <t>0.5936099495641518</t>
  </si>
  <si>
    <t>0.6503121565001921</t>
  </si>
  <si>
    <t>096</t>
  </si>
  <si>
    <t>096_VL1</t>
  </si>
  <si>
    <t>sample_output/096/096_VL1_cropped_pred_like_gt_hwf.npy</t>
  </si>
  <si>
    <t>sample_gt_cropped/096/096_VL1_label_hwf.npy</t>
  </si>
  <si>
    <t>0.8314932804486047</t>
  </si>
  <si>
    <t>0.7115862207175203</t>
  </si>
  <si>
    <t>0.7885129968517167</t>
  </si>
  <si>
    <t>0.8794292279492374</t>
  </si>
  <si>
    <t>097</t>
  </si>
  <si>
    <t>097_VL1</t>
  </si>
  <si>
    <t>sample_output/097/097_VL1_cropped_pred_like_gt_hwf.npy</t>
  </si>
  <si>
    <t>sample_gt_cropped/097/097_VL1_label_hwf.npy</t>
  </si>
  <si>
    <t>0.7427836405563314</t>
  </si>
  <si>
    <t>0.6661530714277486</t>
  </si>
  <si>
    <t>0.8393362452376489</t>
  </si>
  <si>
    <t>098</t>
  </si>
  <si>
    <t>098_VL1</t>
  </si>
  <si>
    <t>sample_output/098/098_VL1_cropped_pred_like_gt_hwf.npy</t>
  </si>
  <si>
    <t>sample_gt_cropped/098/098_VL1_label_hwf.npy</t>
  </si>
  <si>
    <t>0.8124196114428437</t>
  </si>
  <si>
    <t>0.6840965203457832</t>
  </si>
  <si>
    <t>0.7323872005581828</t>
  </si>
  <si>
    <t>099</t>
  </si>
  <si>
    <t>099_VL1</t>
  </si>
  <si>
    <t>sample_output/099/099_VL1_cropped_pred_like_gt_hwf.npy</t>
  </si>
  <si>
    <t>sample_gt_cropped/099/099_VL1_label_hwf.npy</t>
  </si>
  <si>
    <t>0.7606544895843307</t>
  </si>
  <si>
    <t>0.6137549885739382</t>
  </si>
  <si>
    <t>0.7247516510495322</t>
  </si>
  <si>
    <t>0.8002998440135825</t>
  </si>
  <si>
    <t>100_VL1</t>
  </si>
  <si>
    <t>sample_output/100/100_VL1_cropped_pred_like_gt_hwf.npy</t>
  </si>
  <si>
    <t>sample_gt_cropped/100/100_VL1_label_hwf.npy</t>
  </si>
  <si>
    <t>0.8240981659155205</t>
  </si>
  <si>
    <t>0.7008222472559861</t>
  </si>
  <si>
    <t>0.7274379843504215</t>
  </si>
  <si>
    <t>lumen_dice_quality</t>
  </si>
  <si>
    <t>lumen_IoU_quality</t>
  </si>
  <si>
    <t>lumen_failure_mode</t>
  </si>
  <si>
    <t>lumen_flag</t>
  </si>
  <si>
    <t>lumen_overall_quality</t>
  </si>
  <si>
    <t>vessel_wall_dice</t>
  </si>
  <si>
    <t>vessel_wall_iou</t>
  </si>
  <si>
    <t>vessel_wall_precision</t>
  </si>
  <si>
    <t>vessel_wall_recall</t>
  </si>
  <si>
    <t>0.3604157338907813</t>
  </si>
  <si>
    <t>0.21982141530673405</t>
  </si>
  <si>
    <t>0.8434131726468227</t>
  </si>
  <si>
    <t>0.2291744162625149</t>
  </si>
  <si>
    <t>0.36770053185074747</t>
  </si>
  <si>
    <t>0.22526536277540835</t>
  </si>
  <si>
    <t>0.7529375440370903</t>
  </si>
  <si>
    <t>0.24324523323686445</t>
  </si>
  <si>
    <t>0.47149779253112034</t>
  </si>
  <si>
    <t>0.30847046882051693</t>
  </si>
  <si>
    <t>0.6395450543861374</t>
  </si>
  <si>
    <t>0.3733865160713283</t>
  </si>
  <si>
    <t>0.33610608539933523</t>
  </si>
  <si>
    <t>0.20199970830472136</t>
  </si>
  <si>
    <t>0.6991566278251485</t>
  </si>
  <si>
    <t>0.22122878082605169</t>
  </si>
  <si>
    <t>0.49053930376852695</t>
  </si>
  <si>
    <t>0.32497653300493995</t>
  </si>
  <si>
    <t>0.7139480508669964</t>
  </si>
  <si>
    <t>0.3736246225123083</t>
  </si>
  <si>
    <t>0.26883371787844157</t>
  </si>
  <si>
    <t>0.15529052330489226</t>
  </si>
  <si>
    <t>0.7490781797696463</t>
  </si>
  <si>
    <t>0.16381173275798674</t>
  </si>
  <si>
    <t>0.3620354211184911</t>
  </si>
  <si>
    <t>0.22102762525286626</t>
  </si>
  <si>
    <t>0.8572758104746535</t>
  </si>
  <si>
    <t>0.22947171287021173</t>
  </si>
  <si>
    <t>0.34433346074150234</t>
  </si>
  <si>
    <t>0.20797271224416636</t>
  </si>
  <si>
    <t>0.9025601587931787</t>
  </si>
  <si>
    <t>0.2127494928835207</t>
  </si>
  <si>
    <t>0.3399515104775874</t>
  </si>
  <si>
    <t>0.20478408469585715</t>
  </si>
  <si>
    <t>0.8208249096003088</t>
  </si>
  <si>
    <t>0.21436662088774922</t>
  </si>
  <si>
    <t>0.3429486705065182</t>
  </si>
  <si>
    <t>0.2069632149604858</t>
  </si>
  <si>
    <t>0.6600542289659268</t>
  </si>
  <si>
    <t>0.23165578772178658</t>
  </si>
  <si>
    <t>0.35537213656765654</t>
  </si>
  <si>
    <t>0.21608057632320163</t>
  </si>
  <si>
    <t>0.23057476049858916</t>
  </si>
  <si>
    <t>0.43981852001081817</t>
  </si>
  <si>
    <t>0.2819021541095769</t>
  </si>
  <si>
    <t>0.9153846374760388</t>
  </si>
  <si>
    <t>0.2894445508333994</t>
  </si>
  <si>
    <t>0.3787064443201271</t>
  </si>
  <si>
    <t>0.2335828961963156</t>
  </si>
  <si>
    <t>0.8585757411331565</t>
  </si>
  <si>
    <t>0.2429297855988082</t>
  </si>
  <si>
    <t>0.4691390965067572</t>
  </si>
  <si>
    <t>0.3064544240670315</t>
  </si>
  <si>
    <t>0.8624062903333948</t>
  </si>
  <si>
    <t>0.3222083710236165</t>
  </si>
  <si>
    <t>0.41314111394663405</t>
  </si>
  <si>
    <t>0.2603515142888012</t>
  </si>
  <si>
    <t>0.8296922797810671</t>
  </si>
  <si>
    <t>0.27505058815565425</t>
  </si>
  <si>
    <t>0.37744149958160894</t>
  </si>
  <si>
    <t>0.23262119639093584</t>
  </si>
  <si>
    <t>0.8692759573087421</t>
  </si>
  <si>
    <t>0.2410537875931266</t>
  </si>
  <si>
    <t>0.4685095258962039</t>
  </si>
  <si>
    <t>0.3059173620850422</t>
  </si>
  <si>
    <t>0.6975093455039468</t>
  </si>
  <si>
    <t>0.3527107826621785</t>
  </si>
  <si>
    <t>0.3098961236589961</t>
  </si>
  <si>
    <t>0.6027002225994887</t>
  </si>
  <si>
    <t>0.20856902442503372</t>
  </si>
  <si>
    <t>0.4485068138174273</t>
  </si>
  <si>
    <t>0.2890807499586718</t>
  </si>
  <si>
    <t>0.9127505881213676</t>
  </si>
  <si>
    <t>0.29729595796402775</t>
  </si>
  <si>
    <t>0.4820499262726918</t>
  </si>
  <si>
    <t>0.3175663907634485</t>
  </si>
  <si>
    <t>0.6866135430687601</t>
  </si>
  <si>
    <t>0.37139866540602323</t>
  </si>
  <si>
    <t>0.5403002017292525</t>
  </si>
  <si>
    <t>0.37014473960284594</t>
  </si>
  <si>
    <t>0.7204523366704109</t>
  </si>
  <si>
    <t>0.4322214191794758</t>
  </si>
  <si>
    <t>0.36785613489833424</t>
  </si>
  <si>
    <t>0.2253821754097765</t>
  </si>
  <si>
    <t>0.23505635464893682</t>
  </si>
  <si>
    <t>0.4349769287806127</t>
  </si>
  <si>
    <t>0.27793643223527725</t>
  </si>
  <si>
    <t>0.8187592636053754</t>
  </si>
  <si>
    <t>0.2961572309504039</t>
  </si>
  <si>
    <t>0.2828730919751344</t>
  </si>
  <si>
    <t>0.8703011549261238</t>
  </si>
  <si>
    <t>0.2953226802175926</t>
  </si>
  <si>
    <t>0.2593705748868277</t>
  </si>
  <si>
    <t>0.1490096462490653</t>
  </si>
  <si>
    <t>0.7692683919090041</t>
  </si>
  <si>
    <t>0.15598096921151425</t>
  </si>
  <si>
    <t>0.4850969500980262</t>
  </si>
  <si>
    <t>0.3202164984283422</t>
  </si>
  <si>
    <t>0.8520890445943813</t>
  </si>
  <si>
    <t>0.43737283955947603</t>
  </si>
  <si>
    <t>0.27989583864405326</t>
  </si>
  <si>
    <t>0.8185186667106927</t>
  </si>
  <si>
    <t>0.29841496128575123</t>
  </si>
  <si>
    <t>0.22338013018999614</t>
  </si>
  <si>
    <t>0.12573321619659977</t>
  </si>
  <si>
    <t>0.31658869888461344</t>
  </si>
  <si>
    <t>0.17257222136029352</t>
  </si>
  <si>
    <t>0.4033036975649005</t>
  </si>
  <si>
    <t>0.25258635405482405</t>
  </si>
  <si>
    <t>0.8517213303086543</t>
  </si>
  <si>
    <t>0.26420434397406006</t>
  </si>
  <si>
    <t>0.40254132933630365</t>
  </si>
  <si>
    <t>0.2519885720542991</t>
  </si>
  <si>
    <t>0.7690819966576535</t>
  </si>
  <si>
    <t>0.49662569556466396</t>
  </si>
  <si>
    <t>0.33034068368701797</t>
  </si>
  <si>
    <t>0.8679036518807673</t>
  </si>
  <si>
    <t>0.34782896384782425</t>
  </si>
  <si>
    <t>0.23735868543316083</t>
  </si>
  <si>
    <t>0.13466079767425093</t>
  </si>
  <si>
    <t>0.7906285925247978</t>
  </si>
  <si>
    <t>0.36390895562855236</t>
  </si>
  <si>
    <t>0.2224258588056502</t>
  </si>
  <si>
    <t>0.6033242282642418</t>
  </si>
  <si>
    <t>0.37254449244560384</t>
  </si>
  <si>
    <t>0.22891224412360892</t>
  </si>
  <si>
    <t>0.8118767115244759</t>
  </si>
  <si>
    <t>0.24173436588039843</t>
  </si>
  <si>
    <t>0.40199269243138375</t>
  </si>
  <si>
    <t>0.25155873225825204</t>
  </si>
  <si>
    <t>0.5526180117086308</t>
  </si>
  <si>
    <t>0.3158912322729037</t>
  </si>
  <si>
    <t>0.3346104928021948</t>
  </si>
  <si>
    <t>0.20092026000885074</t>
  </si>
  <si>
    <t>0.2069905890294069</t>
  </si>
  <si>
    <t>0.4773145422068741</t>
  </si>
  <si>
    <t>0.3134689044043676</t>
  </si>
  <si>
    <t>0.8989689008671573</t>
  </si>
  <si>
    <t>0.3249154717516984</t>
  </si>
  <si>
    <t>0.3390161432014474</t>
  </si>
  <si>
    <t>0.9017280861227222</t>
  </si>
  <si>
    <t>0.20874899067960642</t>
  </si>
  <si>
    <t>0.27276562893710793</t>
  </si>
  <si>
    <t>0.15792044988617004</t>
  </si>
  <si>
    <t>0.16687978826550037</t>
  </si>
  <si>
    <t>0.3286094420624848</t>
  </si>
  <si>
    <t>0.8589638390996858</t>
  </si>
  <si>
    <t>0.20316700708057708</t>
  </si>
  <si>
    <t>0.21704121311927077</t>
  </si>
  <si>
    <t>0.12173091981502414</t>
  </si>
  <si>
    <t>0.8615831053130905</t>
  </si>
  <si>
    <t>0.12415904568994024</t>
  </si>
  <si>
    <t>0.3827483621783425</t>
  </si>
  <si>
    <t>0.23666592954815738</t>
  </si>
  <si>
    <t>0.24635531404576883</t>
  </si>
  <si>
    <t>0.32480488825099946</t>
  </si>
  <si>
    <t>0.1938907808248583</t>
  </si>
  <si>
    <t>0.28861115502516843</t>
  </si>
  <si>
    <t>0.3713781453265275</t>
  </si>
  <si>
    <t>0.3721357078935864</t>
  </si>
  <si>
    <t>0.22860364325090796</t>
  </si>
  <si>
    <t>0.7555086770274368</t>
  </si>
  <si>
    <t>0.24686652673085197</t>
  </si>
  <si>
    <t>0.24203571146763755</t>
  </si>
  <si>
    <t>0.1376795382286754</t>
  </si>
  <si>
    <t>0.6739605463137741</t>
  </si>
  <si>
    <t>0.14750400277204184</t>
  </si>
  <si>
    <t>0.3561858868975002</t>
  </si>
  <si>
    <t>0.21668258232997067</t>
  </si>
  <si>
    <t>0.8576937351621438</t>
  </si>
  <si>
    <t>0.22476313114272745</t>
  </si>
  <si>
    <t>0.3998515901276325</t>
  </si>
  <si>
    <t>0.2498840655408493</t>
  </si>
  <si>
    <t>0.7727361207577043</t>
  </si>
  <si>
    <t>0.2697051299308684</t>
  </si>
  <si>
    <t>0.35216068156588126</t>
  </si>
  <si>
    <t>0.8632478689692837</t>
  </si>
  <si>
    <t>0.3729677418102004</t>
  </si>
  <si>
    <t>0.23857606492233263</t>
  </si>
  <si>
    <t>0.13544500002028925</t>
  </si>
  <si>
    <t>0.7617285595058012</t>
  </si>
  <si>
    <t>0.1414373740569023</t>
  </si>
  <si>
    <t>0.3622980821547542</t>
  </si>
  <si>
    <t>0.22122345843707403</t>
  </si>
  <si>
    <t>0.7726938675145724</t>
  </si>
  <si>
    <t>0.23662239426498582</t>
  </si>
  <si>
    <t>0.3057607851505748</t>
  </si>
  <si>
    <t>0.18047084642516031</t>
  </si>
  <si>
    <t>0.7927907612409457</t>
  </si>
  <si>
    <t>0.18940490534839682</t>
  </si>
  <si>
    <t>0.30910707205726884</t>
  </si>
  <si>
    <t>0.18280700507355718</t>
  </si>
  <si>
    <t>0.8918356486269516</t>
  </si>
  <si>
    <t>0.18695198309630157</t>
  </si>
  <si>
    <t>0.22450316009034332</t>
  </si>
  <si>
    <t>0.12644526030345782</t>
  </si>
  <si>
    <t>0.8304107841810247</t>
  </si>
  <si>
    <t>0.12979701725473777</t>
  </si>
  <si>
    <t>0.16917232520016418</t>
  </si>
  <si>
    <t>0.8766302841505736</t>
  </si>
  <si>
    <t>0.34885148596713067</t>
  </si>
  <si>
    <t>0.2112780788658882</t>
  </si>
  <si>
    <t>0.24606817010049833</t>
  </si>
  <si>
    <t>0.38604711599455743</t>
  </si>
  <si>
    <t>0.23919354760622344</t>
  </si>
  <si>
    <t>0.8718450145887148</t>
  </si>
  <si>
    <t>0.24790999916696826</t>
  </si>
  <si>
    <t>0.1851971644040616</t>
  </si>
  <si>
    <t>0.10204809071903792</t>
  </si>
  <si>
    <t>0.10484068082195105</t>
  </si>
  <si>
    <t>0.39581116739573263</t>
  </si>
  <si>
    <t>0.24673601969486725</t>
  </si>
  <si>
    <t>0.5351607318053214</t>
  </si>
  <si>
    <t>0.31403908166989436</t>
  </si>
  <si>
    <t>0.2591340567223749</t>
  </si>
  <si>
    <t>0.9324832376589293</t>
  </si>
  <si>
    <t>0.36826921448682415</t>
  </si>
  <si>
    <t>0.2256923861193219</t>
  </si>
  <si>
    <t>0.8149953177024086</t>
  </si>
  <si>
    <t>0.2378795195870844</t>
  </si>
  <si>
    <t>0.44186660053350574</t>
  </si>
  <si>
    <t>0.28358714387664186</t>
  </si>
  <si>
    <t>0.9063478947067739</t>
  </si>
  <si>
    <t>0.29214789587459494</t>
  </si>
  <si>
    <t>0.2882373322925366</t>
  </si>
  <si>
    <t>0.16838627090668373</t>
  </si>
  <si>
    <t>0.7784277629771813</t>
  </si>
  <si>
    <t>0.17686325397505712</t>
  </si>
  <si>
    <t>0.2662580529909371</t>
  </si>
  <si>
    <t>0.15357421180831893</t>
  </si>
  <si>
    <t>0.5657709879535129</t>
  </si>
  <si>
    <t>0.3695995197198484</t>
  </si>
  <si>
    <t>0.22669247475708554</t>
  </si>
  <si>
    <t>0.2519405756424838</t>
  </si>
  <si>
    <t>0.34616512470244654</t>
  </si>
  <si>
    <t>0.20931057258069097</t>
  </si>
  <si>
    <t>0.8552431904798735</t>
  </si>
  <si>
    <t>0.21699827978605496</t>
  </si>
  <si>
    <t>0.3247925870358421</t>
  </si>
  <si>
    <t>0.7757226514529838</t>
  </si>
  <si>
    <t>0.3584528142144634</t>
  </si>
  <si>
    <t>0.31310886746550115</t>
  </si>
  <si>
    <t>0.1856129666145469</t>
  </si>
  <si>
    <t>0.6132613699122882</t>
  </si>
  <si>
    <t>0.21021968113715447</t>
  </si>
  <si>
    <t>0.32705903380136775</t>
  </si>
  <si>
    <t>0.1954994470274304</t>
  </si>
  <si>
    <t>0.9467932261393734</t>
  </si>
  <si>
    <t>0.19767115091531662</t>
  </si>
  <si>
    <t>0.29359227057025933</t>
  </si>
  <si>
    <t>0.17205282507034475</t>
  </si>
  <si>
    <t>0.7876368991049056</t>
  </si>
  <si>
    <t>0.1804224377166497</t>
  </si>
  <si>
    <t>0.3248214503592586</t>
  </si>
  <si>
    <t>0.6542861859084371</t>
  </si>
  <si>
    <t>0.39212130439610854</t>
  </si>
  <si>
    <t>0.39124504485005696</t>
  </si>
  <si>
    <t>0.24319741399869765</t>
  </si>
  <si>
    <t>0.9019806151173939</t>
  </si>
  <si>
    <t>0.24979925187123223</t>
  </si>
  <si>
    <t>0.3969347015067194</t>
  </si>
  <si>
    <t>0.24760981469675494</t>
  </si>
  <si>
    <t>0.8567518569758892</t>
  </si>
  <si>
    <t>0.2583036205466241</t>
  </si>
  <si>
    <t>0.33543876885114576</t>
  </si>
  <si>
    <t>0.20151783098999076</t>
  </si>
  <si>
    <t>0.7319758517601703</t>
  </si>
  <si>
    <t>0.2175722324486908</t>
  </si>
  <si>
    <t>0.12229032801510024</t>
  </si>
  <si>
    <t>0.9344287622652477</t>
  </si>
  <si>
    <t>0.12334883651802976</t>
  </si>
  <si>
    <t>0.4786546918509487</t>
  </si>
  <si>
    <t>0.3146259361941341</t>
  </si>
  <si>
    <t>0.6666730221608606</t>
  </si>
  <si>
    <t>0.3733583697381094</t>
  </si>
  <si>
    <t>0.21628771032965768</t>
  </si>
  <si>
    <t>0.12125706123246537</t>
  </si>
  <si>
    <t>0.2679775458102606</t>
  </si>
  <si>
    <t>0.3271821020471565</t>
  </si>
  <si>
    <t>0.19558739923069599</t>
  </si>
  <si>
    <t>0.9027684596293323</t>
  </si>
  <si>
    <t>0.1997962051089525</t>
  </si>
  <si>
    <t>0.2368863731086276</t>
  </si>
  <si>
    <t>0.13435683866064432</t>
  </si>
  <si>
    <t>0.8230667590630399</t>
  </si>
  <si>
    <t>0.13835280778823333</t>
  </si>
  <si>
    <t>0.3842116956410168</t>
  </si>
  <si>
    <t>0.2377859120557514</t>
  </si>
  <si>
    <t>0.5805891696377772</t>
  </si>
  <si>
    <t>0.2871026075120228</t>
  </si>
  <si>
    <t>0.24947424952048994</t>
  </si>
  <si>
    <t>0.14251389872565604</t>
  </si>
  <si>
    <t>0.7256066268259239</t>
  </si>
  <si>
    <t>0.1506318493884092</t>
  </si>
  <si>
    <t>0.3860306346773389</t>
  </si>
  <si>
    <t>0.23918089337474166</t>
  </si>
  <si>
    <t>0.7021350665464345</t>
  </si>
  <si>
    <t>0.2661904648070581</t>
  </si>
  <si>
    <t>0.17195080784359096</t>
  </si>
  <si>
    <t>0.1726347679843445</t>
  </si>
  <si>
    <t>0.3361157998623209</t>
  </si>
  <si>
    <t>0.2020067260897776</t>
  </si>
  <si>
    <t>0.3267281558758408</t>
  </si>
  <si>
    <t>0.3460588589711387</t>
  </si>
  <si>
    <t>0.4165826887094367</t>
  </si>
  <si>
    <t>0.2630909020250014</t>
  </si>
  <si>
    <t>0.8663093457239869</t>
  </si>
  <si>
    <t>0.2742246228407408</t>
  </si>
  <si>
    <t>0.2703471213856301</t>
  </si>
  <si>
    <t>0.15630137395094326</t>
  </si>
  <si>
    <t>0.7337437769214505</t>
  </si>
  <si>
    <t>0.3591903023672469</t>
  </si>
  <si>
    <t>0.21891039703474566</t>
  </si>
  <si>
    <t>0.6239189503968218</t>
  </si>
  <si>
    <t>0.33290486105081385</t>
  </si>
  <si>
    <t>0.19969157924643252</t>
  </si>
  <si>
    <t>0.20420369155822693</t>
  </si>
  <si>
    <t>0.4594720465869603</t>
  </si>
  <si>
    <t>0.29825622155638265</t>
  </si>
  <si>
    <t>0.7973388969958369</t>
  </si>
  <si>
    <t>0.32272117689997665</t>
  </si>
  <si>
    <t>0.32349712519123036</t>
  </si>
  <si>
    <t>0.19295948134185578</t>
  </si>
  <si>
    <t>0.7741452185653712</t>
  </si>
  <si>
    <t>0.2044702157050987</t>
  </si>
  <si>
    <t>0.2888508846777289</t>
  </si>
  <si>
    <t>0.1688052093714392</t>
  </si>
  <si>
    <t>0.6720264611610034</t>
  </si>
  <si>
    <t>0.1839604463487949</t>
  </si>
  <si>
    <t>0.3887043300188466</t>
  </si>
  <si>
    <t>0.2412371219388885</t>
  </si>
  <si>
    <t>0.42068486209802475</t>
  </si>
  <si>
    <t>0.3612426078386507</t>
  </si>
  <si>
    <t>0.37376269399597895</t>
  </si>
  <si>
    <t>0.22983281260124702</t>
  </si>
  <si>
    <t>0.8708373510684639</t>
  </si>
  <si>
    <t>0.23794404349883683</t>
  </si>
  <si>
    <t>0.29654046176624044</t>
  </si>
  <si>
    <t>0.17408130637121552</t>
  </si>
  <si>
    <t>0.6656893205631857</t>
  </si>
  <si>
    <t>0.19075815180564962</t>
  </si>
  <si>
    <t>0.36366859597453133</t>
  </si>
  <si>
    <t>0.22224629746754587</t>
  </si>
  <si>
    <t>0.2263586979434862</t>
  </si>
  <si>
    <t>vessel_wall_dice_quality</t>
  </si>
  <si>
    <t>vessel_wall_iou_quality</t>
  </si>
  <si>
    <t>vessel_wall_overall_quality</t>
  </si>
  <si>
    <t>vessel_wall_failure_mode</t>
  </si>
  <si>
    <t>vessel_wall_flag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</si>
</sst>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3" borderId="2" xfId="0" applyFill="1" applyBorder="1"/>
    <xf numFmtId="0" fontId="0" fillId="2" borderId="1" xfId="0" quotePrefix="1" applyFill="1" applyBorder="1"/>
    <xf numFmtId="0" fontId="0" fillId="3" borderId="1" xfId="0" quotePrefix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24A33-5DE0-4BF3-827E-426CCC3AB2BE}" name="Table1" displayName="Table1" ref="A1:X95" totalsRowShown="0">
  <autoFilter ref="A1:X95" xr:uid="{4C124A33-5DE0-4BF3-827E-426CCC3AB2BE}"/>
  <tableColumns count="24">
    <tableColumn id="1" xr3:uid="{8A9D4AF7-4935-47BF-96E7-23E111071170}" name="case"/>
    <tableColumn id="2" xr3:uid="{AC0CBDE2-0ADE-4D8F-9B17-4A0909938BED}" name="stem"/>
    <tableColumn id="3" xr3:uid="{248C8610-8AAB-4361-BA95-8B26F7C496F3}" name="mapping"/>
    <tableColumn id="4" xr3:uid="{A900EC4A-E602-44FB-ACF4-44010E1481D2}" name="pred_path"/>
    <tableColumn id="5" xr3:uid="{559E133E-B4D0-4D3D-85D0-44E760177D26}" name="gt_path"/>
    <tableColumn id="6" xr3:uid="{4831EAEA-A83A-4DD6-A84E-2C692D49DA5E}" name="shape"/>
    <tableColumn id="7" xr3:uid="{60B2BC91-C85E-4433-B3BF-54E7D5E39B0F}" name="lumen_dice"/>
    <tableColumn id="8" xr3:uid="{90C6800D-214C-46EE-AD2A-DD2E9979FBED}" name="lumen_iou"/>
    <tableColumn id="9" xr3:uid="{732498F9-A1B6-4695-90F9-C6256A5D9CF1}" name="lumen_precision"/>
    <tableColumn id="10" xr3:uid="{1C2CA725-89E0-458A-AFE3-5183C7372D3B}" name="lumen_recall"/>
    <tableColumn id="11" xr3:uid="{75CD9967-BA79-4F7A-95AF-BEECEC94224B}" name="lumen_dice_quality">
      <calculatedColumnFormula>IF(VALUE(G2)&gt;=0.85,"Good",IF(AND(VALUE(G2)&gt;=0.7,VALUE(G2)&lt;0.85),"Acceptable","Poor"))</calculatedColumnFormula>
    </tableColumn>
    <tableColumn id="12" xr3:uid="{3921EC76-D101-42EC-9970-F3465B2B4F62}" name="lumen_IoU_quality">
      <calculatedColumnFormula>IF(VALUE(H2)&gt;=0.75,"Good",IF(AND(VALUE(H2)&gt;=0.55,VALUE(H2)&lt;0.75),"Acceptable","Poor"))</calculatedColumnFormula>
    </tableColumn>
    <tableColumn id="13" xr3:uid="{F4F6282B-87EF-48A0-B231-90B61735B4A4}" name="lumen_overall_quality">
      <calculatedColumnFormula>IF(OR(K2="Poor",L2="Poor"),"Poor",IF(AND(K2="Good",L2="Good"),"Good","Acceptable"))</calculatedColumnFormula>
    </tableColumn>
    <tableColumn id="14" xr3:uid="{DC3C4FCA-2A00-4EBF-95FB-B96EA2A8E68F}" name="lumen_failure_mode">
      <calculatedColumnFormula>IF(ABS(VALUE(I2)-VALUE(J2))&lt;0.15,"Balanced",IF(VALUE(I2)&gt;VALUE(J2),"Under-seg","Over-seg"))</calculatedColumnFormula>
    </tableColumn>
    <tableColumn id="15" xr3:uid="{4A583C59-AF82-46F7-8B0F-A1538F4BB8EE}" name="lumen_flag">
      <calculatedColumnFormula>IF(M2="Poor","HIGH",IF(AND(M2="Acceptable",OR(N2="Under-seg",N2="Over-seg")),"MEDIUM",IF(M2="Good","PASS","PASS")))</calculatedColumnFormula>
    </tableColumn>
    <tableColumn id="16" xr3:uid="{43B82146-1AE2-4394-A9C6-F2CD136D7D57}" name="vessel_wall_dice"/>
    <tableColumn id="17" xr3:uid="{005CA78B-88BF-484B-9FAC-2F3B996AAB55}" name="vessel_wall_iou"/>
    <tableColumn id="18" xr3:uid="{71EA4857-B7AC-49CA-B532-344AF713BF6D}" name="vessel_wall_precision"/>
    <tableColumn id="19" xr3:uid="{3BF0715B-967F-4535-8CE0-ECC50EE64A8C}" name="vessel_wall_recall"/>
    <tableColumn id="20" xr3:uid="{789B63F9-3B26-4CF0-98A1-B3CE4B5BEED7}" name="vessel_wall_dice_quality">
      <calculatedColumnFormula>IF(VALUE(P2)&gt;=0.8,"Good",IF(VALUE(P2)&gt;=0.65,"Acceptable","Poor"))</calculatedColumnFormula>
    </tableColumn>
    <tableColumn id="21" xr3:uid="{FCFAAB81-9B7E-4609-92CA-CC01DE14CD0C}" name="vessel_wall_iou_quality">
      <calculatedColumnFormula>IF(VALUE(Q2)&gt;=0.7,"Good",IF(VALUE(Q2)&gt;=0.5,"Acceptable","Poor"))</calculatedColumnFormula>
    </tableColumn>
    <tableColumn id="22" xr3:uid="{A251CFD6-3FF0-4925-953B-A6953720A5CD}" name="vessel_wall_overall_quality">
      <calculatedColumnFormula>IF(AND(T2="Good",U2="Good"),"Good",IF(OR(T2="Poor",U2="Poor"),"Poor","Acceptable"))</calculatedColumnFormula>
    </tableColumn>
    <tableColumn id="23" xr3:uid="{3D967955-30CA-46A6-A3F5-9DB645DB9D9F}" name="vessel_wall_failure_mode">
      <calculatedColumnFormula>IF(ABS(VALUE(R2)-VALUE(S2))&lt;0.05,"Balanced",IF(VALUE(R2)&gt;VALUE(S2),"Under-segmentation","Over-segmentation"))</calculatedColumnFormula>
    </tableColumn>
    <tableColumn id="24" xr3:uid="{89EF7609-A2C1-4580-B526-49804B272620}" name="vessel_wall_flag">
      <calculatedColumnFormula>IF(V2="Poor","High",IF(AND(V2="Acceptable",W2&lt;&gt;"Balanced"),"Medium","Pass"))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F866-D0CC-4132-8E53-4847BDCD336B}">
  <dimension ref="A1:X95"/>
  <sheetViews>
    <sheetView tabSelected="1" workbookViewId="0">
      <selection activeCell="Y1" sqref="Y1:AE1048576"/>
    </sheetView>
  </sheetViews>
  <sheetFormatPr defaultRowHeight="14.4" x14ac:dyDescent="0.3"/>
  <cols>
    <col min="3" max="3" width="9.77734375" customWidth="1"/>
    <col min="4" max="4" width="49.5546875" bestFit="1" customWidth="1"/>
    <col min="5" max="5" width="40.109375" bestFit="1" customWidth="1"/>
    <col min="6" max="6" width="11.5546875" bestFit="1" customWidth="1"/>
    <col min="7" max="9" width="19.77734375" bestFit="1" customWidth="1"/>
    <col min="10" max="10" width="18.77734375" bestFit="1" customWidth="1"/>
    <col min="11" max="11" width="18.77734375" customWidth="1"/>
    <col min="12" max="12" width="17.33203125" customWidth="1"/>
    <col min="13" max="13" width="20" customWidth="1"/>
    <col min="14" max="14" width="19.109375" customWidth="1"/>
    <col min="15" max="15" width="11.5546875" customWidth="1"/>
    <col min="16" max="17" width="19.77734375" bestFit="1" customWidth="1"/>
    <col min="18" max="18" width="20.109375" customWidth="1"/>
    <col min="19" max="19" width="19.77734375" bestFit="1" customWidth="1"/>
    <col min="20" max="20" width="22.109375" customWidth="1"/>
    <col min="21" max="21" width="21.109375" customWidth="1"/>
    <col min="22" max="22" width="24" customWidth="1"/>
    <col min="23" max="23" width="23.109375" customWidth="1"/>
    <col min="24" max="24" width="15.5546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759</v>
      </c>
      <c r="L1" t="s">
        <v>760</v>
      </c>
      <c r="M1" t="s">
        <v>763</v>
      </c>
      <c r="N1" t="s">
        <v>761</v>
      </c>
      <c r="O1" t="s">
        <v>762</v>
      </c>
      <c r="P1" t="s">
        <v>764</v>
      </c>
      <c r="Q1" t="s">
        <v>765</v>
      </c>
      <c r="R1" t="s">
        <v>766</v>
      </c>
      <c r="S1" t="s">
        <v>767</v>
      </c>
      <c r="T1" t="s">
        <v>1112</v>
      </c>
      <c r="U1" t="s">
        <v>1113</v>
      </c>
      <c r="V1" t="s">
        <v>1114</v>
      </c>
      <c r="W1" t="s">
        <v>1115</v>
      </c>
      <c r="X1" t="s">
        <v>1116</v>
      </c>
    </row>
    <row r="2" spans="1:24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t="str">
        <f t="shared" ref="K2:K33" si="0">IF(VALUE(G2)&gt;=0.85,"Good",IF(AND(VALUE(G2)&gt;=0.7,VALUE(G2)&lt;0.85),"Acceptable","Poor"))</f>
        <v>Acceptable</v>
      </c>
      <c r="L2" t="str">
        <f t="shared" ref="L2:L33" si="1">IF(VALUE(H2)&gt;=0.75,"Good",IF(AND(VALUE(H2)&gt;=0.55,VALUE(H2)&lt;0.75),"Acceptable","Poor"))</f>
        <v>Acceptable</v>
      </c>
      <c r="M2" t="str">
        <f t="shared" ref="M2:M33" si="2">IF(OR(K2="Poor",L2="Poor"),"Poor",IF(AND(K2="Good",L2="Good"),"Good","Acceptable"))</f>
        <v>Acceptable</v>
      </c>
      <c r="N2" t="str">
        <f>IF(ABS(VALUE(I2)-VALUE(J2))&lt;0.15,"Balanced",IF(VALUE(I2)&gt;VALUE(J2),"Under-seg","Over-seg"))</f>
        <v>Balanced</v>
      </c>
      <c r="O2" t="str">
        <f>IF(M2="Poor","HIGH",IF(AND(M2="Acceptable",OR(N2="Under-seg",N2="Over-seg")),"MEDIUM",IF(M2="Good","PASS","PASS")))</f>
        <v>PASS</v>
      </c>
      <c r="P2" s="1" t="s">
        <v>768</v>
      </c>
      <c r="Q2" s="1" t="s">
        <v>769</v>
      </c>
      <c r="R2" s="1" t="s">
        <v>770</v>
      </c>
      <c r="S2" s="1" t="s">
        <v>771</v>
      </c>
      <c r="T2" t="str">
        <f>IF(VALUE(P2)&gt;=0.8,"Good",IF(VALUE(P2)&gt;=0.65,"Acceptable","Poor"))</f>
        <v>Poor</v>
      </c>
      <c r="U2" t="str">
        <f>IF(VALUE(Q2)&gt;=0.7,"Good",IF(VALUE(Q2)&gt;=0.5,"Acceptable","Poor"))</f>
        <v>Poor</v>
      </c>
      <c r="V2" t="str">
        <f>IF(AND(T2="Good",U2="Good"),"Good",IF(OR(T2="Poor",U2="Poor"),"Poor","Acceptable"))</f>
        <v>Poor</v>
      </c>
      <c r="W2" t="str">
        <f>IF(ABS(VALUE(R2)-VALUE(S2))&lt;0.05,"Balanced",IF(VALUE(R2)&gt;VALUE(S2),"Under-segmentation","Over-segmentation"))</f>
        <v>Under-segmentation</v>
      </c>
      <c r="X2" t="str">
        <f>IF(V2="Poor","High",IF(AND(V2="Acceptable",W2&lt;&gt;"Balanced"),"Medium","Pass"))</f>
        <v>High</v>
      </c>
    </row>
    <row r="3" spans="1:24" x14ac:dyDescent="0.3">
      <c r="A3" s="1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t="str">
        <f t="shared" si="0"/>
        <v>Poor</v>
      </c>
      <c r="L3" t="str">
        <f t="shared" si="1"/>
        <v>Poor</v>
      </c>
      <c r="M3" t="str">
        <f t="shared" si="2"/>
        <v>Poor</v>
      </c>
      <c r="N3" t="str">
        <f t="shared" ref="N3:N66" si="3">IF(ABS(VALUE(I3)-VALUE(J3))&lt;0.15,"Balanced",IF(VALUE(I3)&gt;VALUE(J3),"Under-seg","Over-seg"))</f>
        <v>Over-seg</v>
      </c>
      <c r="O3" t="str">
        <f t="shared" ref="O3:O66" si="4">IF(M3="Poor","HIGH",IF(AND(M3="Acceptable",OR(N3="Under-seg",N3="Over-seg")),"MEDIUM",IF(M3="Good","PASS","PASS")))</f>
        <v>HIGH</v>
      </c>
      <c r="P3" s="1" t="s">
        <v>772</v>
      </c>
      <c r="Q3" s="1" t="s">
        <v>773</v>
      </c>
      <c r="R3" s="1" t="s">
        <v>774</v>
      </c>
      <c r="S3" s="1" t="s">
        <v>775</v>
      </c>
      <c r="T3" t="str">
        <f t="shared" ref="T3:T66" si="5">IF(VALUE(P3)&gt;=0.8,"Good",IF(VALUE(P3)&gt;=0.65,"Acceptable","Poor"))</f>
        <v>Poor</v>
      </c>
      <c r="U3" t="str">
        <f t="shared" ref="U3:U66" si="6">IF(VALUE(Q3)&gt;=0.7,"Good",IF(VALUE(Q3)&gt;=0.5,"Acceptable","Poor"))</f>
        <v>Poor</v>
      </c>
      <c r="V3" t="str">
        <f t="shared" ref="V3:V66" si="7">IF(AND(T3="Good",U3="Good"),"Good",IF(OR(T3="Poor",U3="Poor"),"Poor","Acceptable"))</f>
        <v>Poor</v>
      </c>
      <c r="W3" t="str">
        <f t="shared" ref="W3:W66" si="8">IF(ABS(VALUE(R3)-VALUE(S3))&lt;0.05,"Balanced",IF(VALUE(R3)&gt;VALUE(S3),"Under-segmentation","Over-segmentation"))</f>
        <v>Under-segmentation</v>
      </c>
      <c r="X3" t="str">
        <f t="shared" ref="X3:X66" si="9">IF(V3="Poor","High",IF(AND(V3="Acceptable",W3&lt;&gt;"Balanced"),"Medium","Pass"))</f>
        <v>High</v>
      </c>
    </row>
    <row r="4" spans="1:24" x14ac:dyDescent="0.3">
      <c r="A4" s="1" t="s">
        <v>29</v>
      </c>
      <c r="B4" t="s">
        <v>30</v>
      </c>
      <c r="C4" t="s">
        <v>12</v>
      </c>
      <c r="D4" t="s">
        <v>31</v>
      </c>
      <c r="E4" t="s">
        <v>32</v>
      </c>
      <c r="F4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t="str">
        <f t="shared" si="0"/>
        <v>Acceptable</v>
      </c>
      <c r="L4" t="str">
        <f t="shared" si="1"/>
        <v>Acceptable</v>
      </c>
      <c r="M4" t="str">
        <f t="shared" si="2"/>
        <v>Acceptable</v>
      </c>
      <c r="N4" t="str">
        <f t="shared" si="3"/>
        <v>Over-seg</v>
      </c>
      <c r="O4" t="str">
        <f t="shared" si="4"/>
        <v>MEDIUM</v>
      </c>
      <c r="P4" s="1" t="s">
        <v>776</v>
      </c>
      <c r="Q4" s="1" t="s">
        <v>777</v>
      </c>
      <c r="R4" s="1" t="s">
        <v>778</v>
      </c>
      <c r="S4" s="1" t="s">
        <v>779</v>
      </c>
      <c r="T4" t="str">
        <f t="shared" si="5"/>
        <v>Poor</v>
      </c>
      <c r="U4" t="str">
        <f t="shared" si="6"/>
        <v>Poor</v>
      </c>
      <c r="V4" t="str">
        <f t="shared" si="7"/>
        <v>Poor</v>
      </c>
      <c r="W4" t="str">
        <f t="shared" si="8"/>
        <v>Under-segmentation</v>
      </c>
      <c r="X4" t="str">
        <f t="shared" si="9"/>
        <v>High</v>
      </c>
    </row>
    <row r="5" spans="1:24" x14ac:dyDescent="0.3">
      <c r="A5" s="1" t="s">
        <v>38</v>
      </c>
      <c r="B5" t="s">
        <v>39</v>
      </c>
      <c r="C5" t="s">
        <v>12</v>
      </c>
      <c r="D5" t="s">
        <v>40</v>
      </c>
      <c r="E5" t="s">
        <v>41</v>
      </c>
      <c r="F5" t="s">
        <v>42</v>
      </c>
      <c r="G5" s="1" t="s">
        <v>43</v>
      </c>
      <c r="H5">
        <v>0.52633828113770398</v>
      </c>
      <c r="I5" s="1" t="s">
        <v>44</v>
      </c>
      <c r="J5" s="1" t="s">
        <v>45</v>
      </c>
      <c r="K5" t="str">
        <f t="shared" si="0"/>
        <v>Poor</v>
      </c>
      <c r="L5" t="str">
        <f t="shared" si="1"/>
        <v>Poor</v>
      </c>
      <c r="M5" t="str">
        <f t="shared" si="2"/>
        <v>Poor</v>
      </c>
      <c r="N5" t="str">
        <f t="shared" si="3"/>
        <v>Over-seg</v>
      </c>
      <c r="O5" t="str">
        <f t="shared" si="4"/>
        <v>HIGH</v>
      </c>
      <c r="P5" s="1" t="s">
        <v>780</v>
      </c>
      <c r="Q5" s="1" t="s">
        <v>781</v>
      </c>
      <c r="R5" s="1" t="s">
        <v>782</v>
      </c>
      <c r="S5" s="1" t="s">
        <v>783</v>
      </c>
      <c r="T5" t="str">
        <f t="shared" si="5"/>
        <v>Poor</v>
      </c>
      <c r="U5" t="str">
        <f t="shared" si="6"/>
        <v>Poor</v>
      </c>
      <c r="V5" t="str">
        <f t="shared" si="7"/>
        <v>Poor</v>
      </c>
      <c r="W5" t="str">
        <f t="shared" si="8"/>
        <v>Under-segmentation</v>
      </c>
      <c r="X5" t="str">
        <f t="shared" si="9"/>
        <v>High</v>
      </c>
    </row>
    <row r="6" spans="1:24" x14ac:dyDescent="0.3">
      <c r="A6" s="1" t="s">
        <v>46</v>
      </c>
      <c r="B6" t="s">
        <v>47</v>
      </c>
      <c r="C6" t="s">
        <v>12</v>
      </c>
      <c r="D6" t="s">
        <v>48</v>
      </c>
      <c r="E6" t="s">
        <v>49</v>
      </c>
      <c r="F6" t="s">
        <v>50</v>
      </c>
      <c r="G6" s="1" t="s">
        <v>51</v>
      </c>
      <c r="H6" s="1" t="s">
        <v>52</v>
      </c>
      <c r="I6" s="1" t="s">
        <v>53</v>
      </c>
      <c r="J6">
        <v>0.82437897684541095</v>
      </c>
      <c r="K6" t="str">
        <f t="shared" si="0"/>
        <v>Acceptable</v>
      </c>
      <c r="L6" t="str">
        <f t="shared" si="1"/>
        <v>Acceptable</v>
      </c>
      <c r="M6" t="str">
        <f t="shared" si="2"/>
        <v>Acceptable</v>
      </c>
      <c r="N6" t="str">
        <f t="shared" si="3"/>
        <v>Balanced</v>
      </c>
      <c r="O6" t="str">
        <f t="shared" si="4"/>
        <v>PASS</v>
      </c>
      <c r="P6" s="1" t="s">
        <v>784</v>
      </c>
      <c r="Q6" s="1" t="s">
        <v>785</v>
      </c>
      <c r="R6" s="1" t="s">
        <v>786</v>
      </c>
      <c r="S6" s="1" t="s">
        <v>787</v>
      </c>
      <c r="T6" t="str">
        <f t="shared" si="5"/>
        <v>Poor</v>
      </c>
      <c r="U6" t="str">
        <f t="shared" si="6"/>
        <v>Poor</v>
      </c>
      <c r="V6" t="str">
        <f t="shared" si="7"/>
        <v>Poor</v>
      </c>
      <c r="W6" t="str">
        <f t="shared" si="8"/>
        <v>Under-segmentation</v>
      </c>
      <c r="X6" t="str">
        <f t="shared" si="9"/>
        <v>High</v>
      </c>
    </row>
    <row r="7" spans="1:24" x14ac:dyDescent="0.3">
      <c r="A7" s="1" t="s">
        <v>54</v>
      </c>
      <c r="B7" t="s">
        <v>55</v>
      </c>
      <c r="C7" t="s">
        <v>12</v>
      </c>
      <c r="D7" t="s">
        <v>56</v>
      </c>
      <c r="E7" t="s">
        <v>57</v>
      </c>
      <c r="F7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t="str">
        <f t="shared" si="0"/>
        <v>Poor</v>
      </c>
      <c r="L7" t="str">
        <f t="shared" si="1"/>
        <v>Poor</v>
      </c>
      <c r="M7" t="str">
        <f t="shared" si="2"/>
        <v>Poor</v>
      </c>
      <c r="N7" t="str">
        <f t="shared" si="3"/>
        <v>Over-seg</v>
      </c>
      <c r="O7" t="str">
        <f t="shared" si="4"/>
        <v>HIGH</v>
      </c>
      <c r="P7" s="1" t="s">
        <v>788</v>
      </c>
      <c r="Q7" s="1" t="s">
        <v>789</v>
      </c>
      <c r="R7" s="1" t="s">
        <v>790</v>
      </c>
      <c r="S7" s="1" t="s">
        <v>791</v>
      </c>
      <c r="T7" t="str">
        <f t="shared" si="5"/>
        <v>Poor</v>
      </c>
      <c r="U7" t="str">
        <f t="shared" si="6"/>
        <v>Poor</v>
      </c>
      <c r="V7" t="str">
        <f t="shared" si="7"/>
        <v>Poor</v>
      </c>
      <c r="W7" t="str">
        <f t="shared" si="8"/>
        <v>Under-segmentation</v>
      </c>
      <c r="X7" t="str">
        <f t="shared" si="9"/>
        <v>High</v>
      </c>
    </row>
    <row r="8" spans="1:24" x14ac:dyDescent="0.3">
      <c r="A8" s="1" t="s">
        <v>63</v>
      </c>
      <c r="B8" t="s">
        <v>64</v>
      </c>
      <c r="C8" t="s">
        <v>12</v>
      </c>
      <c r="D8" t="s">
        <v>65</v>
      </c>
      <c r="E8" t="s">
        <v>66</v>
      </c>
      <c r="F8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t="str">
        <f t="shared" si="0"/>
        <v>Acceptable</v>
      </c>
      <c r="L8" t="str">
        <f t="shared" si="1"/>
        <v>Acceptable</v>
      </c>
      <c r="M8" t="str">
        <f t="shared" si="2"/>
        <v>Acceptable</v>
      </c>
      <c r="N8" t="str">
        <f t="shared" si="3"/>
        <v>Balanced</v>
      </c>
      <c r="O8" t="str">
        <f t="shared" si="4"/>
        <v>PASS</v>
      </c>
      <c r="P8" s="1" t="s">
        <v>792</v>
      </c>
      <c r="Q8" s="1" t="s">
        <v>793</v>
      </c>
      <c r="R8" s="1" t="s">
        <v>794</v>
      </c>
      <c r="S8" s="1" t="s">
        <v>795</v>
      </c>
      <c r="T8" t="str">
        <f t="shared" si="5"/>
        <v>Poor</v>
      </c>
      <c r="U8" t="str">
        <f t="shared" si="6"/>
        <v>Poor</v>
      </c>
      <c r="V8" t="str">
        <f t="shared" si="7"/>
        <v>Poor</v>
      </c>
      <c r="W8" t="str">
        <f t="shared" si="8"/>
        <v>Under-segmentation</v>
      </c>
      <c r="X8" t="str">
        <f t="shared" si="9"/>
        <v>High</v>
      </c>
    </row>
    <row r="9" spans="1:24" x14ac:dyDescent="0.3">
      <c r="A9" s="1" t="s">
        <v>72</v>
      </c>
      <c r="B9" t="s">
        <v>73</v>
      </c>
      <c r="C9" t="s">
        <v>12</v>
      </c>
      <c r="D9" t="s">
        <v>74</v>
      </c>
      <c r="E9" t="s">
        <v>75</v>
      </c>
      <c r="F9" t="s">
        <v>76</v>
      </c>
      <c r="G9" s="1" t="s">
        <v>77</v>
      </c>
      <c r="H9" s="1" t="s">
        <v>78</v>
      </c>
      <c r="I9">
        <v>0.60680600851666999</v>
      </c>
      <c r="J9" s="1" t="s">
        <v>79</v>
      </c>
      <c r="K9" t="str">
        <f t="shared" si="0"/>
        <v>Poor</v>
      </c>
      <c r="L9" t="str">
        <f t="shared" si="1"/>
        <v>Poor</v>
      </c>
      <c r="M9" t="str">
        <f t="shared" si="2"/>
        <v>Poor</v>
      </c>
      <c r="N9" t="str">
        <f t="shared" si="3"/>
        <v>Over-seg</v>
      </c>
      <c r="O9" t="str">
        <f t="shared" si="4"/>
        <v>HIGH</v>
      </c>
      <c r="P9" s="1" t="s">
        <v>796</v>
      </c>
      <c r="Q9" s="1" t="s">
        <v>797</v>
      </c>
      <c r="R9" s="1" t="s">
        <v>798</v>
      </c>
      <c r="S9" s="1" t="s">
        <v>799</v>
      </c>
      <c r="T9" t="str">
        <f t="shared" si="5"/>
        <v>Poor</v>
      </c>
      <c r="U9" t="str">
        <f t="shared" si="6"/>
        <v>Poor</v>
      </c>
      <c r="V9" t="str">
        <f t="shared" si="7"/>
        <v>Poor</v>
      </c>
      <c r="W9" t="str">
        <f t="shared" si="8"/>
        <v>Under-segmentation</v>
      </c>
      <c r="X9" t="str">
        <f t="shared" si="9"/>
        <v>High</v>
      </c>
    </row>
    <row r="10" spans="1:24" x14ac:dyDescent="0.3">
      <c r="A10" s="1" t="s">
        <v>80</v>
      </c>
      <c r="B10" t="s">
        <v>81</v>
      </c>
      <c r="C10" t="s">
        <v>12</v>
      </c>
      <c r="D10" t="s">
        <v>82</v>
      </c>
      <c r="E10" t="s">
        <v>83</v>
      </c>
      <c r="F10" t="s">
        <v>84</v>
      </c>
      <c r="G10" s="1" t="s">
        <v>85</v>
      </c>
      <c r="H10" s="1" t="s">
        <v>86</v>
      </c>
      <c r="I10" s="1" t="s">
        <v>87</v>
      </c>
      <c r="J10" s="1" t="s">
        <v>88</v>
      </c>
      <c r="K10" t="str">
        <f t="shared" si="0"/>
        <v>Poor</v>
      </c>
      <c r="L10" t="str">
        <f t="shared" si="1"/>
        <v>Poor</v>
      </c>
      <c r="M10" t="str">
        <f t="shared" si="2"/>
        <v>Poor</v>
      </c>
      <c r="N10" t="str">
        <f t="shared" si="3"/>
        <v>Over-seg</v>
      </c>
      <c r="O10" t="str">
        <f t="shared" si="4"/>
        <v>HIGH</v>
      </c>
      <c r="P10" s="1" t="s">
        <v>800</v>
      </c>
      <c r="Q10" s="1" t="s">
        <v>801</v>
      </c>
      <c r="R10" s="1" t="s">
        <v>802</v>
      </c>
      <c r="S10" s="1" t="s">
        <v>803</v>
      </c>
      <c r="T10" t="str">
        <f t="shared" si="5"/>
        <v>Poor</v>
      </c>
      <c r="U10" t="str">
        <f t="shared" si="6"/>
        <v>Poor</v>
      </c>
      <c r="V10" t="str">
        <f t="shared" si="7"/>
        <v>Poor</v>
      </c>
      <c r="W10" t="str">
        <f t="shared" si="8"/>
        <v>Under-segmentation</v>
      </c>
      <c r="X10" t="str">
        <f t="shared" si="9"/>
        <v>High</v>
      </c>
    </row>
    <row r="11" spans="1:24" x14ac:dyDescent="0.3">
      <c r="A11" s="1" t="s">
        <v>89</v>
      </c>
      <c r="B11" t="s">
        <v>90</v>
      </c>
      <c r="C11" t="s">
        <v>12</v>
      </c>
      <c r="D11" t="s">
        <v>91</v>
      </c>
      <c r="E11" t="s">
        <v>92</v>
      </c>
      <c r="F1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t="str">
        <f t="shared" si="0"/>
        <v>Poor</v>
      </c>
      <c r="L11" t="str">
        <f t="shared" si="1"/>
        <v>Poor</v>
      </c>
      <c r="M11" t="str">
        <f t="shared" si="2"/>
        <v>Poor</v>
      </c>
      <c r="N11" t="str">
        <f t="shared" si="3"/>
        <v>Balanced</v>
      </c>
      <c r="O11" t="str">
        <f t="shared" si="4"/>
        <v>HIGH</v>
      </c>
      <c r="P11" s="1" t="s">
        <v>804</v>
      </c>
      <c r="Q11" s="1" t="s">
        <v>805</v>
      </c>
      <c r="R11" s="1" t="s">
        <v>806</v>
      </c>
      <c r="S11" s="1" t="s">
        <v>807</v>
      </c>
      <c r="T11" t="str">
        <f t="shared" si="5"/>
        <v>Poor</v>
      </c>
      <c r="U11" t="str">
        <f t="shared" si="6"/>
        <v>Poor</v>
      </c>
      <c r="V11" t="str">
        <f t="shared" si="7"/>
        <v>Poor</v>
      </c>
      <c r="W11" t="str">
        <f t="shared" si="8"/>
        <v>Under-segmentation</v>
      </c>
      <c r="X11" t="str">
        <f t="shared" si="9"/>
        <v>High</v>
      </c>
    </row>
    <row r="12" spans="1:24" x14ac:dyDescent="0.3">
      <c r="A12" s="1" t="s">
        <v>98</v>
      </c>
      <c r="B12" t="s">
        <v>99</v>
      </c>
      <c r="C12" t="s">
        <v>12</v>
      </c>
      <c r="D12" t="s">
        <v>100</v>
      </c>
      <c r="E12" t="s">
        <v>101</v>
      </c>
      <c r="F12" t="s">
        <v>102</v>
      </c>
      <c r="G12" s="1" t="s">
        <v>103</v>
      </c>
      <c r="H12" s="1" t="s">
        <v>104</v>
      </c>
      <c r="I12" s="1" t="s">
        <v>105</v>
      </c>
      <c r="J12" s="1" t="s">
        <v>106</v>
      </c>
      <c r="K12" t="str">
        <f t="shared" si="0"/>
        <v>Poor</v>
      </c>
      <c r="L12" t="str">
        <f t="shared" si="1"/>
        <v>Poor</v>
      </c>
      <c r="M12" t="str">
        <f t="shared" si="2"/>
        <v>Poor</v>
      </c>
      <c r="N12" t="str">
        <f t="shared" si="3"/>
        <v>Over-seg</v>
      </c>
      <c r="O12" t="str">
        <f t="shared" si="4"/>
        <v>HIGH</v>
      </c>
      <c r="P12" s="1" t="s">
        <v>808</v>
      </c>
      <c r="Q12" s="1" t="s">
        <v>809</v>
      </c>
      <c r="R12">
        <v>0.77464427503929101</v>
      </c>
      <c r="S12" s="1" t="s">
        <v>810</v>
      </c>
      <c r="T12" t="str">
        <f t="shared" si="5"/>
        <v>Poor</v>
      </c>
      <c r="U12" t="str">
        <f t="shared" si="6"/>
        <v>Poor</v>
      </c>
      <c r="V12" t="str">
        <f t="shared" si="7"/>
        <v>Poor</v>
      </c>
      <c r="W12" t="str">
        <f t="shared" si="8"/>
        <v>Under-segmentation</v>
      </c>
      <c r="X12" t="str">
        <f t="shared" si="9"/>
        <v>High</v>
      </c>
    </row>
    <row r="13" spans="1:24" x14ac:dyDescent="0.3">
      <c r="A13" s="1" t="s">
        <v>107</v>
      </c>
      <c r="B13" t="s">
        <v>108</v>
      </c>
      <c r="C13" t="s">
        <v>12</v>
      </c>
      <c r="D13" t="s">
        <v>109</v>
      </c>
      <c r="E13" t="s">
        <v>110</v>
      </c>
      <c r="F13" t="s">
        <v>111</v>
      </c>
      <c r="G13" s="1" t="s">
        <v>112</v>
      </c>
      <c r="H13">
        <v>0.66366894266336596</v>
      </c>
      <c r="I13" s="1" t="s">
        <v>113</v>
      </c>
      <c r="J13" s="1" t="s">
        <v>114</v>
      </c>
      <c r="K13" t="str">
        <f t="shared" si="0"/>
        <v>Acceptable</v>
      </c>
      <c r="L13" t="str">
        <f t="shared" si="1"/>
        <v>Acceptable</v>
      </c>
      <c r="M13" t="str">
        <f t="shared" si="2"/>
        <v>Acceptable</v>
      </c>
      <c r="N13" t="str">
        <f t="shared" si="3"/>
        <v>Over-seg</v>
      </c>
      <c r="O13" t="str">
        <f t="shared" si="4"/>
        <v>MEDIUM</v>
      </c>
      <c r="P13" s="1" t="s">
        <v>811</v>
      </c>
      <c r="Q13" s="1" t="s">
        <v>812</v>
      </c>
      <c r="R13" s="1" t="s">
        <v>813</v>
      </c>
      <c r="S13" s="1" t="s">
        <v>814</v>
      </c>
      <c r="T13" t="str">
        <f t="shared" si="5"/>
        <v>Poor</v>
      </c>
      <c r="U13" t="str">
        <f t="shared" si="6"/>
        <v>Poor</v>
      </c>
      <c r="V13" t="str">
        <f t="shared" si="7"/>
        <v>Poor</v>
      </c>
      <c r="W13" t="str">
        <f t="shared" si="8"/>
        <v>Under-segmentation</v>
      </c>
      <c r="X13" t="str">
        <f t="shared" si="9"/>
        <v>High</v>
      </c>
    </row>
    <row r="14" spans="1:24" x14ac:dyDescent="0.3">
      <c r="A14" s="1" t="s">
        <v>115</v>
      </c>
      <c r="B14" t="s">
        <v>116</v>
      </c>
      <c r="C14" t="s">
        <v>12</v>
      </c>
      <c r="D14" t="s">
        <v>117</v>
      </c>
      <c r="E14" t="s">
        <v>118</v>
      </c>
      <c r="F14" t="s">
        <v>119</v>
      </c>
      <c r="G14" s="1" t="s">
        <v>120</v>
      </c>
      <c r="H14" s="1" t="s">
        <v>121</v>
      </c>
      <c r="I14" s="1" t="s">
        <v>122</v>
      </c>
      <c r="J14" s="1" t="s">
        <v>123</v>
      </c>
      <c r="K14" t="str">
        <f t="shared" si="0"/>
        <v>Acceptable</v>
      </c>
      <c r="L14" t="str">
        <f t="shared" si="1"/>
        <v>Acceptable</v>
      </c>
      <c r="M14" t="str">
        <f t="shared" si="2"/>
        <v>Acceptable</v>
      </c>
      <c r="N14" t="str">
        <f t="shared" si="3"/>
        <v>Balanced</v>
      </c>
      <c r="O14" t="str">
        <f t="shared" si="4"/>
        <v>PASS</v>
      </c>
      <c r="P14" s="1" t="s">
        <v>815</v>
      </c>
      <c r="Q14" s="1" t="s">
        <v>816</v>
      </c>
      <c r="R14" s="1" t="s">
        <v>817</v>
      </c>
      <c r="S14" s="1" t="s">
        <v>818</v>
      </c>
      <c r="T14" t="str">
        <f t="shared" si="5"/>
        <v>Poor</v>
      </c>
      <c r="U14" t="str">
        <f t="shared" si="6"/>
        <v>Poor</v>
      </c>
      <c r="V14" t="str">
        <f t="shared" si="7"/>
        <v>Poor</v>
      </c>
      <c r="W14" t="str">
        <f t="shared" si="8"/>
        <v>Under-segmentation</v>
      </c>
      <c r="X14" t="str">
        <f t="shared" si="9"/>
        <v>High</v>
      </c>
    </row>
    <row r="15" spans="1:24" x14ac:dyDescent="0.3">
      <c r="A15" s="1" t="s">
        <v>124</v>
      </c>
      <c r="B15" t="s">
        <v>125</v>
      </c>
      <c r="C15" t="s">
        <v>12</v>
      </c>
      <c r="D15" t="s">
        <v>126</v>
      </c>
      <c r="E15" t="s">
        <v>127</v>
      </c>
      <c r="F15" t="s">
        <v>128</v>
      </c>
      <c r="G15" s="1" t="s">
        <v>129</v>
      </c>
      <c r="H15" s="1" t="s">
        <v>130</v>
      </c>
      <c r="I15">
        <v>0.62107758026974602</v>
      </c>
      <c r="J15">
        <v>0.81685898886407105</v>
      </c>
      <c r="K15" t="str">
        <f t="shared" si="0"/>
        <v>Acceptable</v>
      </c>
      <c r="L15" t="str">
        <f t="shared" si="1"/>
        <v>Poor</v>
      </c>
      <c r="M15" t="str">
        <f t="shared" si="2"/>
        <v>Poor</v>
      </c>
      <c r="N15" t="str">
        <f t="shared" si="3"/>
        <v>Over-seg</v>
      </c>
      <c r="O15" t="str">
        <f t="shared" si="4"/>
        <v>HIGH</v>
      </c>
      <c r="P15" s="1" t="s">
        <v>819</v>
      </c>
      <c r="Q15" s="1" t="s">
        <v>820</v>
      </c>
      <c r="R15" s="1" t="s">
        <v>821</v>
      </c>
      <c r="S15" s="1" t="s">
        <v>822</v>
      </c>
      <c r="T15" t="str">
        <f t="shared" si="5"/>
        <v>Poor</v>
      </c>
      <c r="U15" t="str">
        <f t="shared" si="6"/>
        <v>Poor</v>
      </c>
      <c r="V15" t="str">
        <f t="shared" si="7"/>
        <v>Poor</v>
      </c>
      <c r="W15" t="str">
        <f t="shared" si="8"/>
        <v>Under-segmentation</v>
      </c>
      <c r="X15" t="str">
        <f t="shared" si="9"/>
        <v>High</v>
      </c>
    </row>
    <row r="16" spans="1:24" x14ac:dyDescent="0.3">
      <c r="A16" s="1" t="s">
        <v>131</v>
      </c>
      <c r="B16" t="s">
        <v>132</v>
      </c>
      <c r="C16" t="s">
        <v>12</v>
      </c>
      <c r="D16" t="s">
        <v>133</v>
      </c>
      <c r="E16" t="s">
        <v>134</v>
      </c>
      <c r="F16" t="s">
        <v>111</v>
      </c>
      <c r="G16">
        <v>0.825143660617776</v>
      </c>
      <c r="H16">
        <v>0.70233579456332695</v>
      </c>
      <c r="I16" s="1" t="s">
        <v>135</v>
      </c>
      <c r="J16" s="1" t="s">
        <v>136</v>
      </c>
      <c r="K16" t="str">
        <f t="shared" si="0"/>
        <v>Acceptable</v>
      </c>
      <c r="L16" t="str">
        <f t="shared" si="1"/>
        <v>Acceptable</v>
      </c>
      <c r="M16" t="str">
        <f t="shared" si="2"/>
        <v>Acceptable</v>
      </c>
      <c r="N16" t="str">
        <f t="shared" si="3"/>
        <v>Balanced</v>
      </c>
      <c r="O16" t="str">
        <f t="shared" si="4"/>
        <v>PASS</v>
      </c>
      <c r="P16" s="1" t="s">
        <v>823</v>
      </c>
      <c r="Q16" s="1" t="s">
        <v>824</v>
      </c>
      <c r="R16" s="1" t="s">
        <v>825</v>
      </c>
      <c r="S16" s="1" t="s">
        <v>826</v>
      </c>
      <c r="T16" t="str">
        <f t="shared" si="5"/>
        <v>Poor</v>
      </c>
      <c r="U16" t="str">
        <f t="shared" si="6"/>
        <v>Poor</v>
      </c>
      <c r="V16" t="str">
        <f t="shared" si="7"/>
        <v>Poor</v>
      </c>
      <c r="W16" t="str">
        <f t="shared" si="8"/>
        <v>Under-segmentation</v>
      </c>
      <c r="X16" t="str">
        <f t="shared" si="9"/>
        <v>High</v>
      </c>
    </row>
    <row r="17" spans="1:24" x14ac:dyDescent="0.3">
      <c r="A17" s="1" t="s">
        <v>137</v>
      </c>
      <c r="B17" t="s">
        <v>138</v>
      </c>
      <c r="C17" t="s">
        <v>12</v>
      </c>
      <c r="D17" t="s">
        <v>139</v>
      </c>
      <c r="E17" t="s">
        <v>140</v>
      </c>
      <c r="F17" t="s">
        <v>141</v>
      </c>
      <c r="G17" s="1" t="s">
        <v>142</v>
      </c>
      <c r="H17" s="1" t="s">
        <v>143</v>
      </c>
      <c r="I17">
        <v>0.80746287089073798</v>
      </c>
      <c r="J17" s="1" t="s">
        <v>144</v>
      </c>
      <c r="K17" t="str">
        <f t="shared" si="0"/>
        <v>Acceptable</v>
      </c>
      <c r="L17" t="str">
        <f t="shared" si="1"/>
        <v>Acceptable</v>
      </c>
      <c r="M17" t="str">
        <f t="shared" si="2"/>
        <v>Acceptable</v>
      </c>
      <c r="N17" t="str">
        <f t="shared" si="3"/>
        <v>Balanced</v>
      </c>
      <c r="O17" t="str">
        <f t="shared" si="4"/>
        <v>PASS</v>
      </c>
      <c r="P17" s="1" t="s">
        <v>827</v>
      </c>
      <c r="Q17" s="1" t="s">
        <v>828</v>
      </c>
      <c r="R17" s="1" t="s">
        <v>829</v>
      </c>
      <c r="S17" s="1" t="s">
        <v>830</v>
      </c>
      <c r="T17" t="str">
        <f t="shared" si="5"/>
        <v>Poor</v>
      </c>
      <c r="U17" t="str">
        <f t="shared" si="6"/>
        <v>Poor</v>
      </c>
      <c r="V17" t="str">
        <f t="shared" si="7"/>
        <v>Poor</v>
      </c>
      <c r="W17" t="str">
        <f t="shared" si="8"/>
        <v>Under-segmentation</v>
      </c>
      <c r="X17" t="str">
        <f t="shared" si="9"/>
        <v>High</v>
      </c>
    </row>
    <row r="18" spans="1:24" x14ac:dyDescent="0.3">
      <c r="A18" s="1" t="s">
        <v>145</v>
      </c>
      <c r="B18" t="s">
        <v>146</v>
      </c>
      <c r="C18" t="s">
        <v>12</v>
      </c>
      <c r="D18" t="s">
        <v>147</v>
      </c>
      <c r="E18" t="s">
        <v>148</v>
      </c>
      <c r="F18" t="s">
        <v>76</v>
      </c>
      <c r="G18" s="1" t="s">
        <v>149</v>
      </c>
      <c r="H18" s="1" t="s">
        <v>150</v>
      </c>
      <c r="I18" s="1" t="s">
        <v>151</v>
      </c>
      <c r="J18" s="1" t="s">
        <v>152</v>
      </c>
      <c r="K18" t="str">
        <f t="shared" si="0"/>
        <v>Acceptable</v>
      </c>
      <c r="L18" t="str">
        <f t="shared" si="1"/>
        <v>Acceptable</v>
      </c>
      <c r="M18" t="str">
        <f t="shared" si="2"/>
        <v>Acceptable</v>
      </c>
      <c r="N18" t="str">
        <f t="shared" si="3"/>
        <v>Balanced</v>
      </c>
      <c r="O18" t="str">
        <f t="shared" si="4"/>
        <v>PASS</v>
      </c>
      <c r="P18" s="1" t="s">
        <v>831</v>
      </c>
      <c r="Q18" s="1" t="s">
        <v>832</v>
      </c>
      <c r="R18" s="1" t="s">
        <v>833</v>
      </c>
      <c r="S18" s="1" t="s">
        <v>834</v>
      </c>
      <c r="T18" t="str">
        <f t="shared" si="5"/>
        <v>Poor</v>
      </c>
      <c r="U18" t="str">
        <f t="shared" si="6"/>
        <v>Poor</v>
      </c>
      <c r="V18" t="str">
        <f t="shared" si="7"/>
        <v>Poor</v>
      </c>
      <c r="W18" t="str">
        <f t="shared" si="8"/>
        <v>Under-segmentation</v>
      </c>
      <c r="X18" t="str">
        <f t="shared" si="9"/>
        <v>High</v>
      </c>
    </row>
    <row r="19" spans="1:24" x14ac:dyDescent="0.3">
      <c r="A19" s="1" t="s">
        <v>153</v>
      </c>
      <c r="B19" t="s">
        <v>154</v>
      </c>
      <c r="C19" t="s">
        <v>12</v>
      </c>
      <c r="D19" t="s">
        <v>155</v>
      </c>
      <c r="E19" t="s">
        <v>156</v>
      </c>
      <c r="F19" t="s">
        <v>157</v>
      </c>
      <c r="G19">
        <v>0.83570888521744002</v>
      </c>
      <c r="H19" s="1" t="s">
        <v>158</v>
      </c>
      <c r="I19" s="1" t="s">
        <v>159</v>
      </c>
      <c r="J19" s="1" t="s">
        <v>160</v>
      </c>
      <c r="K19" t="str">
        <f t="shared" si="0"/>
        <v>Acceptable</v>
      </c>
      <c r="L19" t="str">
        <f t="shared" si="1"/>
        <v>Acceptable</v>
      </c>
      <c r="M19" t="str">
        <f t="shared" si="2"/>
        <v>Acceptable</v>
      </c>
      <c r="N19" t="str">
        <f t="shared" si="3"/>
        <v>Balanced</v>
      </c>
      <c r="O19" t="str">
        <f t="shared" si="4"/>
        <v>PASS</v>
      </c>
      <c r="P19" s="1" t="s">
        <v>835</v>
      </c>
      <c r="Q19">
        <v>0.18335921714463299</v>
      </c>
      <c r="R19" s="1" t="s">
        <v>836</v>
      </c>
      <c r="S19" s="1" t="s">
        <v>837</v>
      </c>
      <c r="T19" t="str">
        <f t="shared" si="5"/>
        <v>Poor</v>
      </c>
      <c r="U19" t="str">
        <f t="shared" si="6"/>
        <v>Poor</v>
      </c>
      <c r="V19" t="str">
        <f t="shared" si="7"/>
        <v>Poor</v>
      </c>
      <c r="W19" t="str">
        <f t="shared" si="8"/>
        <v>Under-segmentation</v>
      </c>
      <c r="X19" t="str">
        <f t="shared" si="9"/>
        <v>High</v>
      </c>
    </row>
    <row r="20" spans="1:24" x14ac:dyDescent="0.3">
      <c r="A20" s="1" t="s">
        <v>161</v>
      </c>
      <c r="B20" t="s">
        <v>162</v>
      </c>
      <c r="C20" t="s">
        <v>12</v>
      </c>
      <c r="D20" t="s">
        <v>163</v>
      </c>
      <c r="E20" t="s">
        <v>164</v>
      </c>
      <c r="F20" t="s">
        <v>165</v>
      </c>
      <c r="G20" s="1" t="s">
        <v>166</v>
      </c>
      <c r="H20" s="1" t="s">
        <v>167</v>
      </c>
      <c r="I20" s="1" t="s">
        <v>168</v>
      </c>
      <c r="J20" s="1" t="s">
        <v>169</v>
      </c>
      <c r="K20" t="str">
        <f t="shared" si="0"/>
        <v>Good</v>
      </c>
      <c r="L20" t="str">
        <f t="shared" si="1"/>
        <v>Good</v>
      </c>
      <c r="M20" t="str">
        <f t="shared" si="2"/>
        <v>Good</v>
      </c>
      <c r="N20" t="str">
        <f t="shared" si="3"/>
        <v>Balanced</v>
      </c>
      <c r="O20" t="str">
        <f t="shared" si="4"/>
        <v>PASS</v>
      </c>
      <c r="P20" s="1" t="s">
        <v>838</v>
      </c>
      <c r="Q20" s="1" t="s">
        <v>839</v>
      </c>
      <c r="R20" s="1" t="s">
        <v>840</v>
      </c>
      <c r="S20" s="1" t="s">
        <v>841</v>
      </c>
      <c r="T20" t="str">
        <f t="shared" si="5"/>
        <v>Poor</v>
      </c>
      <c r="U20" t="str">
        <f t="shared" si="6"/>
        <v>Poor</v>
      </c>
      <c r="V20" t="str">
        <f t="shared" si="7"/>
        <v>Poor</v>
      </c>
      <c r="W20" t="str">
        <f t="shared" si="8"/>
        <v>Under-segmentation</v>
      </c>
      <c r="X20" t="str">
        <f t="shared" si="9"/>
        <v>High</v>
      </c>
    </row>
    <row r="21" spans="1:24" x14ac:dyDescent="0.3">
      <c r="A21" s="1" t="s">
        <v>170</v>
      </c>
      <c r="B21" t="s">
        <v>171</v>
      </c>
      <c r="C21" t="s">
        <v>12</v>
      </c>
      <c r="D21" t="s">
        <v>172</v>
      </c>
      <c r="E21" t="s">
        <v>173</v>
      </c>
      <c r="F21" t="s">
        <v>174</v>
      </c>
      <c r="G21" s="1" t="s">
        <v>175</v>
      </c>
      <c r="H21" s="1" t="s">
        <v>176</v>
      </c>
      <c r="I21" s="1" t="s">
        <v>177</v>
      </c>
      <c r="J21" s="1" t="s">
        <v>178</v>
      </c>
      <c r="K21" t="str">
        <f t="shared" si="0"/>
        <v>Acceptable</v>
      </c>
      <c r="L21" t="str">
        <f t="shared" si="1"/>
        <v>Acceptable</v>
      </c>
      <c r="M21" t="str">
        <f t="shared" si="2"/>
        <v>Acceptable</v>
      </c>
      <c r="N21" t="str">
        <f t="shared" si="3"/>
        <v>Balanced</v>
      </c>
      <c r="O21" t="str">
        <f t="shared" si="4"/>
        <v>PASS</v>
      </c>
      <c r="P21" s="1" t="s">
        <v>842</v>
      </c>
      <c r="Q21" s="1" t="s">
        <v>843</v>
      </c>
      <c r="R21" s="1" t="s">
        <v>844</v>
      </c>
      <c r="S21" s="1" t="s">
        <v>845</v>
      </c>
      <c r="T21" t="str">
        <f t="shared" si="5"/>
        <v>Poor</v>
      </c>
      <c r="U21" t="str">
        <f t="shared" si="6"/>
        <v>Poor</v>
      </c>
      <c r="V21" t="str">
        <f t="shared" si="7"/>
        <v>Poor</v>
      </c>
      <c r="W21" t="str">
        <f t="shared" si="8"/>
        <v>Under-segmentation</v>
      </c>
      <c r="X21" t="str">
        <f t="shared" si="9"/>
        <v>High</v>
      </c>
    </row>
    <row r="22" spans="1:24" x14ac:dyDescent="0.3">
      <c r="A22" s="1" t="s">
        <v>179</v>
      </c>
      <c r="B22" t="s">
        <v>180</v>
      </c>
      <c r="C22" t="s">
        <v>12</v>
      </c>
      <c r="D22" t="s">
        <v>181</v>
      </c>
      <c r="E22" t="s">
        <v>182</v>
      </c>
      <c r="F22" t="s">
        <v>183</v>
      </c>
      <c r="G22" s="1" t="s">
        <v>184</v>
      </c>
      <c r="H22" s="1" t="s">
        <v>185</v>
      </c>
      <c r="I22">
        <v>0.82635358603707099</v>
      </c>
      <c r="J22" s="1" t="s">
        <v>186</v>
      </c>
      <c r="K22" t="str">
        <f t="shared" si="0"/>
        <v>Acceptable</v>
      </c>
      <c r="L22" t="str">
        <f t="shared" si="1"/>
        <v>Acceptable</v>
      </c>
      <c r="M22" t="str">
        <f t="shared" si="2"/>
        <v>Acceptable</v>
      </c>
      <c r="N22" t="str">
        <f t="shared" si="3"/>
        <v>Balanced</v>
      </c>
      <c r="O22" t="str">
        <f t="shared" si="4"/>
        <v>PASS</v>
      </c>
      <c r="P22" s="1" t="s">
        <v>846</v>
      </c>
      <c r="Q22" s="1" t="s">
        <v>847</v>
      </c>
      <c r="R22" s="1" t="s">
        <v>848</v>
      </c>
      <c r="S22" s="1" t="s">
        <v>849</v>
      </c>
      <c r="T22" t="str">
        <f t="shared" si="5"/>
        <v>Poor</v>
      </c>
      <c r="U22" t="str">
        <f t="shared" si="6"/>
        <v>Poor</v>
      </c>
      <c r="V22" t="str">
        <f t="shared" si="7"/>
        <v>Poor</v>
      </c>
      <c r="W22" t="str">
        <f t="shared" si="8"/>
        <v>Under-segmentation</v>
      </c>
      <c r="X22" t="str">
        <f t="shared" si="9"/>
        <v>High</v>
      </c>
    </row>
    <row r="23" spans="1:24" x14ac:dyDescent="0.3">
      <c r="A23" s="1" t="s">
        <v>187</v>
      </c>
      <c r="B23" t="s">
        <v>188</v>
      </c>
      <c r="C23" t="s">
        <v>12</v>
      </c>
      <c r="D23" t="s">
        <v>189</v>
      </c>
      <c r="E23" t="s">
        <v>190</v>
      </c>
      <c r="F23" t="s">
        <v>174</v>
      </c>
      <c r="G23" s="1" t="s">
        <v>191</v>
      </c>
      <c r="H23" s="1" t="s">
        <v>192</v>
      </c>
      <c r="I23" s="1" t="s">
        <v>193</v>
      </c>
      <c r="J23" s="1" t="s">
        <v>194</v>
      </c>
      <c r="K23" t="str">
        <f t="shared" si="0"/>
        <v>Poor</v>
      </c>
      <c r="L23" t="str">
        <f t="shared" si="1"/>
        <v>Poor</v>
      </c>
      <c r="M23" t="str">
        <f t="shared" si="2"/>
        <v>Poor</v>
      </c>
      <c r="N23" t="str">
        <f t="shared" si="3"/>
        <v>Over-seg</v>
      </c>
      <c r="O23" t="str">
        <f t="shared" si="4"/>
        <v>HIGH</v>
      </c>
      <c r="P23" s="1" t="s">
        <v>850</v>
      </c>
      <c r="Q23" s="1" t="s">
        <v>851</v>
      </c>
      <c r="R23">
        <v>0.845587900946147</v>
      </c>
      <c r="S23" s="1" t="s">
        <v>852</v>
      </c>
      <c r="T23" t="str">
        <f t="shared" si="5"/>
        <v>Poor</v>
      </c>
      <c r="U23" t="str">
        <f t="shared" si="6"/>
        <v>Poor</v>
      </c>
      <c r="V23" t="str">
        <f t="shared" si="7"/>
        <v>Poor</v>
      </c>
      <c r="W23" t="str">
        <f t="shared" si="8"/>
        <v>Under-segmentation</v>
      </c>
      <c r="X23" t="str">
        <f t="shared" si="9"/>
        <v>High</v>
      </c>
    </row>
    <row r="24" spans="1:24" x14ac:dyDescent="0.3">
      <c r="A24" s="1" t="s">
        <v>195</v>
      </c>
      <c r="B24" t="s">
        <v>196</v>
      </c>
      <c r="C24" t="s">
        <v>12</v>
      </c>
      <c r="D24" t="s">
        <v>197</v>
      </c>
      <c r="E24" t="s">
        <v>198</v>
      </c>
      <c r="F24" t="s">
        <v>199</v>
      </c>
      <c r="G24" s="1" t="s">
        <v>200</v>
      </c>
      <c r="H24" s="1" t="s">
        <v>201</v>
      </c>
      <c r="I24">
        <v>0.77153147675158895</v>
      </c>
      <c r="J24" s="1" t="s">
        <v>202</v>
      </c>
      <c r="K24" t="str">
        <f t="shared" si="0"/>
        <v>Acceptable</v>
      </c>
      <c r="L24" t="str">
        <f t="shared" si="1"/>
        <v>Acceptable</v>
      </c>
      <c r="M24" t="str">
        <f t="shared" si="2"/>
        <v>Acceptable</v>
      </c>
      <c r="N24" t="str">
        <f t="shared" si="3"/>
        <v>Balanced</v>
      </c>
      <c r="O24" t="str">
        <f t="shared" si="4"/>
        <v>PASS</v>
      </c>
      <c r="P24" s="1" t="s">
        <v>853</v>
      </c>
      <c r="Q24" s="1" t="s">
        <v>854</v>
      </c>
      <c r="R24" s="1" t="s">
        <v>855</v>
      </c>
      <c r="S24" s="1" t="s">
        <v>856</v>
      </c>
      <c r="T24" t="str">
        <f t="shared" si="5"/>
        <v>Poor</v>
      </c>
      <c r="U24" t="str">
        <f t="shared" si="6"/>
        <v>Poor</v>
      </c>
      <c r="V24" t="str">
        <f t="shared" si="7"/>
        <v>Poor</v>
      </c>
      <c r="W24" t="str">
        <f t="shared" si="8"/>
        <v>Under-segmentation</v>
      </c>
      <c r="X24" t="str">
        <f t="shared" si="9"/>
        <v>High</v>
      </c>
    </row>
    <row r="25" spans="1:24" x14ac:dyDescent="0.3">
      <c r="A25" s="1" t="s">
        <v>203</v>
      </c>
      <c r="B25" t="s">
        <v>204</v>
      </c>
      <c r="C25" t="s">
        <v>12</v>
      </c>
      <c r="D25" t="s">
        <v>205</v>
      </c>
      <c r="E25" t="s">
        <v>206</v>
      </c>
      <c r="F25" t="s">
        <v>207</v>
      </c>
      <c r="G25" s="1" t="s">
        <v>208</v>
      </c>
      <c r="H25" s="1" t="s">
        <v>209</v>
      </c>
      <c r="I25" s="1" t="s">
        <v>210</v>
      </c>
      <c r="J25" s="1" t="s">
        <v>211</v>
      </c>
      <c r="K25" t="str">
        <f t="shared" si="0"/>
        <v>Acceptable</v>
      </c>
      <c r="L25" t="str">
        <f t="shared" si="1"/>
        <v>Acceptable</v>
      </c>
      <c r="M25" t="str">
        <f t="shared" si="2"/>
        <v>Acceptable</v>
      </c>
      <c r="N25" t="str">
        <f t="shared" si="3"/>
        <v>Over-seg</v>
      </c>
      <c r="O25" t="str">
        <f t="shared" si="4"/>
        <v>MEDIUM</v>
      </c>
      <c r="P25">
        <v>0.44099933772812699</v>
      </c>
      <c r="Q25" s="1" t="s">
        <v>857</v>
      </c>
      <c r="R25" s="1" t="s">
        <v>858</v>
      </c>
      <c r="S25" s="1" t="s">
        <v>859</v>
      </c>
      <c r="T25" t="str">
        <f t="shared" si="5"/>
        <v>Poor</v>
      </c>
      <c r="U25" t="str">
        <f t="shared" si="6"/>
        <v>Poor</v>
      </c>
      <c r="V25" t="str">
        <f t="shared" si="7"/>
        <v>Poor</v>
      </c>
      <c r="W25" t="str">
        <f t="shared" si="8"/>
        <v>Under-segmentation</v>
      </c>
      <c r="X25" t="str">
        <f t="shared" si="9"/>
        <v>High</v>
      </c>
    </row>
    <row r="26" spans="1:24" x14ac:dyDescent="0.3">
      <c r="A26" s="1" t="s">
        <v>212</v>
      </c>
      <c r="B26" t="s">
        <v>213</v>
      </c>
      <c r="C26" t="s">
        <v>12</v>
      </c>
      <c r="D26" t="s">
        <v>214</v>
      </c>
      <c r="E26" t="s">
        <v>215</v>
      </c>
      <c r="F26" t="s">
        <v>216</v>
      </c>
      <c r="G26" s="1" t="s">
        <v>217</v>
      </c>
      <c r="H26" s="1" t="s">
        <v>218</v>
      </c>
      <c r="I26" s="1" t="s">
        <v>219</v>
      </c>
      <c r="J26" s="1" t="s">
        <v>220</v>
      </c>
      <c r="K26" t="str">
        <f t="shared" si="0"/>
        <v>Good</v>
      </c>
      <c r="L26" t="str">
        <f t="shared" si="1"/>
        <v>Good</v>
      </c>
      <c r="M26" t="str">
        <f t="shared" si="2"/>
        <v>Good</v>
      </c>
      <c r="N26" t="str">
        <f t="shared" si="3"/>
        <v>Balanced</v>
      </c>
      <c r="O26" t="str">
        <f t="shared" si="4"/>
        <v>PASS</v>
      </c>
      <c r="P26" s="1" t="s">
        <v>860</v>
      </c>
      <c r="Q26" s="1" t="s">
        <v>861</v>
      </c>
      <c r="R26" s="1" t="s">
        <v>862</v>
      </c>
      <c r="S26" s="1" t="s">
        <v>863</v>
      </c>
      <c r="T26" t="str">
        <f t="shared" si="5"/>
        <v>Poor</v>
      </c>
      <c r="U26" t="str">
        <f t="shared" si="6"/>
        <v>Poor</v>
      </c>
      <c r="V26" t="str">
        <f t="shared" si="7"/>
        <v>Poor</v>
      </c>
      <c r="W26" t="str">
        <f t="shared" si="8"/>
        <v>Under-segmentation</v>
      </c>
      <c r="X26" t="str">
        <f t="shared" si="9"/>
        <v>High</v>
      </c>
    </row>
    <row r="27" spans="1:24" x14ac:dyDescent="0.3">
      <c r="A27" s="1" t="s">
        <v>221</v>
      </c>
      <c r="B27" t="s">
        <v>222</v>
      </c>
      <c r="C27" t="s">
        <v>12</v>
      </c>
      <c r="D27" t="s">
        <v>223</v>
      </c>
      <c r="E27" t="s">
        <v>224</v>
      </c>
      <c r="F27" t="s">
        <v>225</v>
      </c>
      <c r="G27" s="1" t="s">
        <v>226</v>
      </c>
      <c r="H27" s="1" t="s">
        <v>227</v>
      </c>
      <c r="I27" s="1" t="s">
        <v>228</v>
      </c>
      <c r="J27" s="1" t="s">
        <v>229</v>
      </c>
      <c r="K27" t="str">
        <f t="shared" si="0"/>
        <v>Poor</v>
      </c>
      <c r="L27" t="str">
        <f t="shared" si="1"/>
        <v>Poor</v>
      </c>
      <c r="M27" t="str">
        <f t="shared" si="2"/>
        <v>Poor</v>
      </c>
      <c r="N27" t="str">
        <f t="shared" si="3"/>
        <v>Balanced</v>
      </c>
      <c r="O27" t="str">
        <f t="shared" si="4"/>
        <v>HIGH</v>
      </c>
      <c r="P27" s="1" t="s">
        <v>864</v>
      </c>
      <c r="Q27" s="1" t="s">
        <v>865</v>
      </c>
      <c r="R27" s="1" t="s">
        <v>866</v>
      </c>
      <c r="S27">
        <v>0.33906340069617802</v>
      </c>
      <c r="T27" t="str">
        <f t="shared" si="5"/>
        <v>Poor</v>
      </c>
      <c r="U27" t="str">
        <f t="shared" si="6"/>
        <v>Poor</v>
      </c>
      <c r="V27" t="str">
        <f t="shared" si="7"/>
        <v>Poor</v>
      </c>
      <c r="W27" t="str">
        <f t="shared" si="8"/>
        <v>Under-segmentation</v>
      </c>
      <c r="X27" t="str">
        <f t="shared" si="9"/>
        <v>High</v>
      </c>
    </row>
    <row r="28" spans="1:24" x14ac:dyDescent="0.3">
      <c r="A28" s="1" t="s">
        <v>230</v>
      </c>
      <c r="B28" t="s">
        <v>231</v>
      </c>
      <c r="C28" t="s">
        <v>12</v>
      </c>
      <c r="D28" t="s">
        <v>232</v>
      </c>
      <c r="E28" t="s">
        <v>233</v>
      </c>
      <c r="F28" t="s">
        <v>234</v>
      </c>
      <c r="G28" s="1" t="s">
        <v>235</v>
      </c>
      <c r="H28" s="1" t="s">
        <v>236</v>
      </c>
      <c r="I28" s="1" t="s">
        <v>237</v>
      </c>
      <c r="J28" s="1" t="s">
        <v>238</v>
      </c>
      <c r="K28" t="str">
        <f t="shared" si="0"/>
        <v>Acceptable</v>
      </c>
      <c r="L28" t="str">
        <f t="shared" si="1"/>
        <v>Acceptable</v>
      </c>
      <c r="M28" t="str">
        <f t="shared" si="2"/>
        <v>Acceptable</v>
      </c>
      <c r="N28" t="str">
        <f t="shared" si="3"/>
        <v>Balanced</v>
      </c>
      <c r="O28" t="str">
        <f t="shared" si="4"/>
        <v>PASS</v>
      </c>
      <c r="P28" s="1" t="s">
        <v>867</v>
      </c>
      <c r="Q28" s="1" t="s">
        <v>868</v>
      </c>
      <c r="R28" s="1" t="s">
        <v>869</v>
      </c>
      <c r="S28" s="1" t="s">
        <v>870</v>
      </c>
      <c r="T28" t="str">
        <f t="shared" si="5"/>
        <v>Poor</v>
      </c>
      <c r="U28" t="str">
        <f t="shared" si="6"/>
        <v>Poor</v>
      </c>
      <c r="V28" t="str">
        <f t="shared" si="7"/>
        <v>Poor</v>
      </c>
      <c r="W28" t="str">
        <f t="shared" si="8"/>
        <v>Under-segmentation</v>
      </c>
      <c r="X28" t="str">
        <f t="shared" si="9"/>
        <v>High</v>
      </c>
    </row>
    <row r="29" spans="1:24" x14ac:dyDescent="0.3">
      <c r="A29" s="1" t="s">
        <v>239</v>
      </c>
      <c r="B29" t="s">
        <v>240</v>
      </c>
      <c r="C29" t="s">
        <v>12</v>
      </c>
      <c r="D29" t="s">
        <v>241</v>
      </c>
      <c r="E29" t="s">
        <v>242</v>
      </c>
      <c r="F29" t="s">
        <v>174</v>
      </c>
      <c r="G29" s="1" t="s">
        <v>243</v>
      </c>
      <c r="H29" s="1" t="s">
        <v>244</v>
      </c>
      <c r="I29" s="1" t="s">
        <v>245</v>
      </c>
      <c r="J29" s="1" t="s">
        <v>246</v>
      </c>
      <c r="K29" t="str">
        <f t="shared" si="0"/>
        <v>Poor</v>
      </c>
      <c r="L29" t="str">
        <f t="shared" si="1"/>
        <v>Poor</v>
      </c>
      <c r="M29" t="str">
        <f t="shared" si="2"/>
        <v>Poor</v>
      </c>
      <c r="N29" t="str">
        <f t="shared" si="3"/>
        <v>Over-seg</v>
      </c>
      <c r="O29" t="str">
        <f t="shared" si="4"/>
        <v>HIGH</v>
      </c>
      <c r="P29" s="1" t="s">
        <v>871</v>
      </c>
      <c r="Q29" s="1" t="s">
        <v>872</v>
      </c>
      <c r="R29" s="1" t="s">
        <v>873</v>
      </c>
      <c r="S29" s="1" t="s">
        <v>874</v>
      </c>
      <c r="T29" t="str">
        <f t="shared" si="5"/>
        <v>Poor</v>
      </c>
      <c r="U29" t="str">
        <f t="shared" si="6"/>
        <v>Poor</v>
      </c>
      <c r="V29" t="str">
        <f t="shared" si="7"/>
        <v>Poor</v>
      </c>
      <c r="W29" t="str">
        <f t="shared" si="8"/>
        <v>Under-segmentation</v>
      </c>
      <c r="X29" t="str">
        <f t="shared" si="9"/>
        <v>High</v>
      </c>
    </row>
    <row r="30" spans="1:24" x14ac:dyDescent="0.3">
      <c r="A30" s="1" t="s">
        <v>247</v>
      </c>
      <c r="B30" t="s">
        <v>248</v>
      </c>
      <c r="C30" t="s">
        <v>12</v>
      </c>
      <c r="D30" t="s">
        <v>249</v>
      </c>
      <c r="E30" t="s">
        <v>250</v>
      </c>
      <c r="F30" t="s">
        <v>251</v>
      </c>
      <c r="G30" s="1" t="s">
        <v>252</v>
      </c>
      <c r="H30" s="1" t="s">
        <v>253</v>
      </c>
      <c r="I30" s="1" t="s">
        <v>254</v>
      </c>
      <c r="J30" s="1" t="s">
        <v>255</v>
      </c>
      <c r="K30" t="str">
        <f t="shared" si="0"/>
        <v>Acceptable</v>
      </c>
      <c r="L30" t="str">
        <f t="shared" si="1"/>
        <v>Acceptable</v>
      </c>
      <c r="M30" t="str">
        <f t="shared" si="2"/>
        <v>Acceptable</v>
      </c>
      <c r="N30" t="str">
        <f t="shared" si="3"/>
        <v>Over-seg</v>
      </c>
      <c r="O30" t="str">
        <f t="shared" si="4"/>
        <v>MEDIUM</v>
      </c>
      <c r="P30" s="1" t="s">
        <v>875</v>
      </c>
      <c r="Q30" s="1" t="s">
        <v>876</v>
      </c>
      <c r="R30" s="1" t="s">
        <v>877</v>
      </c>
      <c r="S30" s="1" t="s">
        <v>878</v>
      </c>
      <c r="T30" t="str">
        <f t="shared" si="5"/>
        <v>Poor</v>
      </c>
      <c r="U30" t="str">
        <f t="shared" si="6"/>
        <v>Poor</v>
      </c>
      <c r="V30" t="str">
        <f t="shared" si="7"/>
        <v>Poor</v>
      </c>
      <c r="W30" t="str">
        <f t="shared" si="8"/>
        <v>Under-segmentation</v>
      </c>
      <c r="X30" t="str">
        <f t="shared" si="9"/>
        <v>High</v>
      </c>
    </row>
    <row r="31" spans="1:24" x14ac:dyDescent="0.3">
      <c r="A31" s="1" t="s">
        <v>256</v>
      </c>
      <c r="B31" t="s">
        <v>257</v>
      </c>
      <c r="C31" t="s">
        <v>12</v>
      </c>
      <c r="D31" t="s">
        <v>258</v>
      </c>
      <c r="E31" t="s">
        <v>259</v>
      </c>
      <c r="F31" t="s">
        <v>260</v>
      </c>
      <c r="G31" s="1" t="s">
        <v>261</v>
      </c>
      <c r="H31" s="1" t="s">
        <v>262</v>
      </c>
      <c r="I31" s="1" t="s">
        <v>263</v>
      </c>
      <c r="J31" s="1" t="s">
        <v>264</v>
      </c>
      <c r="K31" t="str">
        <f t="shared" si="0"/>
        <v>Poor</v>
      </c>
      <c r="L31" t="str">
        <f t="shared" si="1"/>
        <v>Poor</v>
      </c>
      <c r="M31" t="str">
        <f t="shared" si="2"/>
        <v>Poor</v>
      </c>
      <c r="N31" t="str">
        <f t="shared" si="3"/>
        <v>Balanced</v>
      </c>
      <c r="O31" t="str">
        <f t="shared" si="4"/>
        <v>HIGH</v>
      </c>
      <c r="P31" s="1" t="s">
        <v>879</v>
      </c>
      <c r="Q31" s="1" t="s">
        <v>880</v>
      </c>
      <c r="R31" s="1" t="s">
        <v>881</v>
      </c>
      <c r="S31">
        <v>0.27261457447358101</v>
      </c>
      <c r="T31" t="str">
        <f t="shared" si="5"/>
        <v>Poor</v>
      </c>
      <c r="U31" t="str">
        <f t="shared" si="6"/>
        <v>Poor</v>
      </c>
      <c r="V31" t="str">
        <f t="shared" si="7"/>
        <v>Poor</v>
      </c>
      <c r="W31" t="str">
        <f t="shared" si="8"/>
        <v>Under-segmentation</v>
      </c>
      <c r="X31" t="str">
        <f t="shared" si="9"/>
        <v>High</v>
      </c>
    </row>
    <row r="32" spans="1:24" x14ac:dyDescent="0.3">
      <c r="A32" s="1" t="s">
        <v>265</v>
      </c>
      <c r="B32" t="s">
        <v>266</v>
      </c>
      <c r="C32" t="s">
        <v>12</v>
      </c>
      <c r="D32" t="s">
        <v>267</v>
      </c>
      <c r="E32" t="s">
        <v>268</v>
      </c>
      <c r="F32" t="s">
        <v>174</v>
      </c>
      <c r="G32" s="1" t="s">
        <v>269</v>
      </c>
      <c r="H32" s="1" t="s">
        <v>270</v>
      </c>
      <c r="I32">
        <v>0.57879157588961505</v>
      </c>
      <c r="J32" s="1" t="s">
        <v>271</v>
      </c>
      <c r="K32" t="str">
        <f t="shared" si="0"/>
        <v>Acceptable</v>
      </c>
      <c r="L32" t="str">
        <f t="shared" si="1"/>
        <v>Acceptable</v>
      </c>
      <c r="M32" t="str">
        <f t="shared" si="2"/>
        <v>Acceptable</v>
      </c>
      <c r="N32" t="str">
        <f t="shared" si="3"/>
        <v>Over-seg</v>
      </c>
      <c r="O32" t="str">
        <f t="shared" si="4"/>
        <v>MEDIUM</v>
      </c>
      <c r="P32" s="1" t="s">
        <v>882</v>
      </c>
      <c r="Q32" s="1" t="s">
        <v>883</v>
      </c>
      <c r="R32" s="1" t="s">
        <v>884</v>
      </c>
      <c r="S32" s="1" t="s">
        <v>885</v>
      </c>
      <c r="T32" t="str">
        <f t="shared" si="5"/>
        <v>Poor</v>
      </c>
      <c r="U32" t="str">
        <f t="shared" si="6"/>
        <v>Poor</v>
      </c>
      <c r="V32" t="str">
        <f t="shared" si="7"/>
        <v>Poor</v>
      </c>
      <c r="W32" t="str">
        <f t="shared" si="8"/>
        <v>Under-segmentation</v>
      </c>
      <c r="X32" t="str">
        <f t="shared" si="9"/>
        <v>High</v>
      </c>
    </row>
    <row r="33" spans="1:24" x14ac:dyDescent="0.3">
      <c r="A33" s="1" t="s">
        <v>272</v>
      </c>
      <c r="B33" t="s">
        <v>273</v>
      </c>
      <c r="C33" t="s">
        <v>12</v>
      </c>
      <c r="D33" t="s">
        <v>274</v>
      </c>
      <c r="E33" t="s">
        <v>275</v>
      </c>
      <c r="F33" t="s">
        <v>276</v>
      </c>
      <c r="G33" s="1" t="s">
        <v>277</v>
      </c>
      <c r="H33" s="1" t="s">
        <v>278</v>
      </c>
      <c r="I33" s="1" t="s">
        <v>279</v>
      </c>
      <c r="J33" s="1" t="s">
        <v>280</v>
      </c>
      <c r="K33" t="str">
        <f t="shared" si="0"/>
        <v>Acceptable</v>
      </c>
      <c r="L33" t="str">
        <f t="shared" si="1"/>
        <v>Acceptable</v>
      </c>
      <c r="M33" t="str">
        <f t="shared" si="2"/>
        <v>Acceptable</v>
      </c>
      <c r="N33" t="str">
        <f t="shared" si="3"/>
        <v>Balanced</v>
      </c>
      <c r="O33" t="str">
        <f t="shared" si="4"/>
        <v>PASS</v>
      </c>
      <c r="P33" s="1" t="s">
        <v>886</v>
      </c>
      <c r="Q33" s="1" t="s">
        <v>887</v>
      </c>
      <c r="R33" s="1" t="s">
        <v>888</v>
      </c>
      <c r="S33">
        <v>0.13964042927432199</v>
      </c>
      <c r="T33" t="str">
        <f t="shared" si="5"/>
        <v>Poor</v>
      </c>
      <c r="U33" t="str">
        <f t="shared" si="6"/>
        <v>Poor</v>
      </c>
      <c r="V33" t="str">
        <f t="shared" si="7"/>
        <v>Poor</v>
      </c>
      <c r="W33" t="str">
        <f t="shared" si="8"/>
        <v>Under-segmentation</v>
      </c>
      <c r="X33" t="str">
        <f t="shared" si="9"/>
        <v>High</v>
      </c>
    </row>
    <row r="34" spans="1:24" x14ac:dyDescent="0.3">
      <c r="A34" s="1" t="s">
        <v>281</v>
      </c>
      <c r="B34" t="s">
        <v>282</v>
      </c>
      <c r="C34" t="s">
        <v>12</v>
      </c>
      <c r="D34" t="s">
        <v>283</v>
      </c>
      <c r="E34" t="s">
        <v>284</v>
      </c>
      <c r="F34" t="s">
        <v>276</v>
      </c>
      <c r="G34" s="1" t="s">
        <v>285</v>
      </c>
      <c r="H34" s="1" t="s">
        <v>286</v>
      </c>
      <c r="I34" s="1" t="s">
        <v>287</v>
      </c>
      <c r="J34" s="1" t="s">
        <v>288</v>
      </c>
      <c r="K34" t="str">
        <f t="shared" ref="K34:K65" si="10">IF(VALUE(G34)&gt;=0.85,"Good",IF(AND(VALUE(G34)&gt;=0.7,VALUE(G34)&lt;0.85),"Acceptable","Poor"))</f>
        <v>Poor</v>
      </c>
      <c r="L34" t="str">
        <f t="shared" ref="L34:L65" si="11">IF(VALUE(H34)&gt;=0.75,"Good",IF(AND(VALUE(H34)&gt;=0.55,VALUE(H34)&lt;0.75),"Acceptable","Poor"))</f>
        <v>Poor</v>
      </c>
      <c r="M34" t="str">
        <f t="shared" ref="M34:M65" si="12">IF(OR(K34="Poor",L34="Poor"),"Poor",IF(AND(K34="Good",L34="Good"),"Good","Acceptable"))</f>
        <v>Poor</v>
      </c>
      <c r="N34" t="str">
        <f t="shared" si="3"/>
        <v>Over-seg</v>
      </c>
      <c r="O34" t="str">
        <f t="shared" si="4"/>
        <v>HIGH</v>
      </c>
      <c r="P34" s="1" t="s">
        <v>889</v>
      </c>
      <c r="Q34" s="1" t="s">
        <v>890</v>
      </c>
      <c r="R34" s="1" t="s">
        <v>891</v>
      </c>
      <c r="S34">
        <v>0.26052545250173698</v>
      </c>
      <c r="T34" t="str">
        <f t="shared" si="5"/>
        <v>Poor</v>
      </c>
      <c r="U34" t="str">
        <f t="shared" si="6"/>
        <v>Poor</v>
      </c>
      <c r="V34" t="str">
        <f t="shared" si="7"/>
        <v>Poor</v>
      </c>
      <c r="W34" t="str">
        <f t="shared" si="8"/>
        <v>Under-segmentation</v>
      </c>
      <c r="X34" t="str">
        <f t="shared" si="9"/>
        <v>High</v>
      </c>
    </row>
    <row r="35" spans="1:24" x14ac:dyDescent="0.3">
      <c r="A35" s="1" t="s">
        <v>289</v>
      </c>
      <c r="B35" t="s">
        <v>290</v>
      </c>
      <c r="C35" t="s">
        <v>12</v>
      </c>
      <c r="D35" t="s">
        <v>291</v>
      </c>
      <c r="E35" t="s">
        <v>292</v>
      </c>
      <c r="F35" t="s">
        <v>174</v>
      </c>
      <c r="G35">
        <v>0.85792365526052505</v>
      </c>
      <c r="H35">
        <v>0.75119641450609898</v>
      </c>
      <c r="I35" s="1" t="s">
        <v>293</v>
      </c>
      <c r="J35" s="1" t="s">
        <v>294</v>
      </c>
      <c r="K35" t="str">
        <f t="shared" si="10"/>
        <v>Good</v>
      </c>
      <c r="L35" t="str">
        <f t="shared" si="11"/>
        <v>Good</v>
      </c>
      <c r="M35" t="str">
        <f t="shared" si="12"/>
        <v>Good</v>
      </c>
      <c r="N35" t="str">
        <f t="shared" si="3"/>
        <v>Balanced</v>
      </c>
      <c r="O35" t="str">
        <f t="shared" si="4"/>
        <v>PASS</v>
      </c>
      <c r="P35" s="1" t="s">
        <v>892</v>
      </c>
      <c r="Q35" s="1" t="s">
        <v>893</v>
      </c>
      <c r="R35" s="1" t="s">
        <v>894</v>
      </c>
      <c r="S35" s="1" t="s">
        <v>895</v>
      </c>
      <c r="T35" t="str">
        <f t="shared" si="5"/>
        <v>Poor</v>
      </c>
      <c r="U35" t="str">
        <f t="shared" si="6"/>
        <v>Poor</v>
      </c>
      <c r="V35" t="str">
        <f t="shared" si="7"/>
        <v>Poor</v>
      </c>
      <c r="W35" t="str">
        <f t="shared" si="8"/>
        <v>Under-segmentation</v>
      </c>
      <c r="X35" t="str">
        <f t="shared" si="9"/>
        <v>High</v>
      </c>
    </row>
    <row r="36" spans="1:24" x14ac:dyDescent="0.3">
      <c r="A36" s="1" t="s">
        <v>295</v>
      </c>
      <c r="B36" t="s">
        <v>296</v>
      </c>
      <c r="C36" t="s">
        <v>12</v>
      </c>
      <c r="D36" t="s">
        <v>297</v>
      </c>
      <c r="E36" t="s">
        <v>298</v>
      </c>
      <c r="F36" t="s">
        <v>299</v>
      </c>
      <c r="G36" s="1" t="s">
        <v>300</v>
      </c>
      <c r="H36" s="1" t="s">
        <v>301</v>
      </c>
      <c r="I36" s="1" t="s">
        <v>302</v>
      </c>
      <c r="J36" s="1" t="s">
        <v>303</v>
      </c>
      <c r="K36" t="str">
        <f t="shared" si="10"/>
        <v>Poor</v>
      </c>
      <c r="L36" t="str">
        <f t="shared" si="11"/>
        <v>Poor</v>
      </c>
      <c r="M36" t="str">
        <f t="shared" si="12"/>
        <v>Poor</v>
      </c>
      <c r="N36" t="str">
        <f t="shared" si="3"/>
        <v>Over-seg</v>
      </c>
      <c r="O36" t="str">
        <f t="shared" si="4"/>
        <v>HIGH</v>
      </c>
      <c r="P36" s="1" t="s">
        <v>896</v>
      </c>
      <c r="Q36" s="1" t="s">
        <v>897</v>
      </c>
      <c r="R36" s="1" t="s">
        <v>898</v>
      </c>
      <c r="S36" s="1" t="s">
        <v>899</v>
      </c>
      <c r="T36" t="str">
        <f t="shared" si="5"/>
        <v>Poor</v>
      </c>
      <c r="U36" t="str">
        <f t="shared" si="6"/>
        <v>Poor</v>
      </c>
      <c r="V36" t="str">
        <f t="shared" si="7"/>
        <v>Poor</v>
      </c>
      <c r="W36" t="str">
        <f t="shared" si="8"/>
        <v>Under-segmentation</v>
      </c>
      <c r="X36" t="str">
        <f t="shared" si="9"/>
        <v>High</v>
      </c>
    </row>
    <row r="37" spans="1:24" x14ac:dyDescent="0.3">
      <c r="A37" s="1" t="s">
        <v>304</v>
      </c>
      <c r="B37" t="s">
        <v>305</v>
      </c>
      <c r="C37" t="s">
        <v>12</v>
      </c>
      <c r="D37" t="s">
        <v>306</v>
      </c>
      <c r="E37" t="s">
        <v>307</v>
      </c>
      <c r="F37" t="s">
        <v>260</v>
      </c>
      <c r="G37" s="1" t="s">
        <v>308</v>
      </c>
      <c r="H37" s="1" t="s">
        <v>309</v>
      </c>
      <c r="I37" s="1" t="s">
        <v>310</v>
      </c>
      <c r="J37" s="1" t="s">
        <v>311</v>
      </c>
      <c r="K37" t="str">
        <f t="shared" si="10"/>
        <v>Acceptable</v>
      </c>
      <c r="L37" t="str">
        <f t="shared" si="11"/>
        <v>Acceptable</v>
      </c>
      <c r="M37" t="str">
        <f t="shared" si="12"/>
        <v>Acceptable</v>
      </c>
      <c r="N37" t="str">
        <f t="shared" si="3"/>
        <v>Balanced</v>
      </c>
      <c r="O37" t="str">
        <f t="shared" si="4"/>
        <v>PASS</v>
      </c>
      <c r="P37" s="1" t="s">
        <v>900</v>
      </c>
      <c r="Q37" s="1" t="s">
        <v>901</v>
      </c>
      <c r="R37">
        <v>0.87262977227187899</v>
      </c>
      <c r="S37" s="1" t="s">
        <v>902</v>
      </c>
      <c r="T37" t="str">
        <f t="shared" si="5"/>
        <v>Poor</v>
      </c>
      <c r="U37" t="str">
        <f t="shared" si="6"/>
        <v>Poor</v>
      </c>
      <c r="V37" t="str">
        <f t="shared" si="7"/>
        <v>Poor</v>
      </c>
      <c r="W37" t="str">
        <f t="shared" si="8"/>
        <v>Under-segmentation</v>
      </c>
      <c r="X37" t="str">
        <f t="shared" si="9"/>
        <v>High</v>
      </c>
    </row>
    <row r="38" spans="1:24" x14ac:dyDescent="0.3">
      <c r="A38" s="1" t="s">
        <v>312</v>
      </c>
      <c r="B38" t="s">
        <v>313</v>
      </c>
      <c r="C38" t="s">
        <v>12</v>
      </c>
      <c r="D38" t="s">
        <v>314</v>
      </c>
      <c r="E38" t="s">
        <v>315</v>
      </c>
      <c r="F38" t="s">
        <v>174</v>
      </c>
      <c r="G38" s="1" t="s">
        <v>316</v>
      </c>
      <c r="H38" s="1" t="s">
        <v>317</v>
      </c>
      <c r="I38" s="1" t="s">
        <v>318</v>
      </c>
      <c r="J38" s="1" t="s">
        <v>319</v>
      </c>
      <c r="K38" t="str">
        <f t="shared" si="10"/>
        <v>Poor</v>
      </c>
      <c r="L38" t="str">
        <f t="shared" si="11"/>
        <v>Poor</v>
      </c>
      <c r="M38" t="str">
        <f t="shared" si="12"/>
        <v>Poor</v>
      </c>
      <c r="N38" t="str">
        <f t="shared" si="3"/>
        <v>Over-seg</v>
      </c>
      <c r="O38" t="str">
        <f t="shared" si="4"/>
        <v>HIGH</v>
      </c>
      <c r="P38" s="1" t="s">
        <v>903</v>
      </c>
      <c r="Q38" s="1" t="s">
        <v>904</v>
      </c>
      <c r="R38" s="1" t="s">
        <v>905</v>
      </c>
      <c r="S38" s="1" t="s">
        <v>906</v>
      </c>
      <c r="T38" t="str">
        <f t="shared" si="5"/>
        <v>Poor</v>
      </c>
      <c r="U38" t="str">
        <f t="shared" si="6"/>
        <v>Poor</v>
      </c>
      <c r="V38" t="str">
        <f t="shared" si="7"/>
        <v>Poor</v>
      </c>
      <c r="W38" t="str">
        <f t="shared" si="8"/>
        <v>Under-segmentation</v>
      </c>
      <c r="X38" t="str">
        <f t="shared" si="9"/>
        <v>High</v>
      </c>
    </row>
    <row r="39" spans="1:24" x14ac:dyDescent="0.3">
      <c r="A39" s="1" t="s">
        <v>312</v>
      </c>
      <c r="B39" t="s">
        <v>320</v>
      </c>
      <c r="C39" t="s">
        <v>12</v>
      </c>
      <c r="D39" t="s">
        <v>321</v>
      </c>
      <c r="E39" t="s">
        <v>322</v>
      </c>
      <c r="F39" t="s">
        <v>174</v>
      </c>
      <c r="G39" s="1" t="s">
        <v>323</v>
      </c>
      <c r="H39" s="1" t="s">
        <v>324</v>
      </c>
      <c r="I39" s="1" t="s">
        <v>325</v>
      </c>
      <c r="J39" s="1" t="s">
        <v>326</v>
      </c>
      <c r="K39" t="str">
        <f t="shared" si="10"/>
        <v>Good</v>
      </c>
      <c r="L39" t="str">
        <f t="shared" si="11"/>
        <v>Acceptable</v>
      </c>
      <c r="M39" t="str">
        <f t="shared" si="12"/>
        <v>Acceptable</v>
      </c>
      <c r="N39" t="str">
        <f t="shared" si="3"/>
        <v>Balanced</v>
      </c>
      <c r="O39" t="str">
        <f t="shared" si="4"/>
        <v>PASS</v>
      </c>
      <c r="P39" s="1" t="s">
        <v>907</v>
      </c>
      <c r="Q39">
        <v>0.20410562198652599</v>
      </c>
      <c r="R39" s="1" t="s">
        <v>908</v>
      </c>
      <c r="S39" s="1" t="s">
        <v>909</v>
      </c>
      <c r="T39" t="str">
        <f t="shared" si="5"/>
        <v>Poor</v>
      </c>
      <c r="U39" t="str">
        <f t="shared" si="6"/>
        <v>Poor</v>
      </c>
      <c r="V39" t="str">
        <f t="shared" si="7"/>
        <v>Poor</v>
      </c>
      <c r="W39" t="str">
        <f t="shared" si="8"/>
        <v>Under-segmentation</v>
      </c>
      <c r="X39" t="str">
        <f t="shared" si="9"/>
        <v>High</v>
      </c>
    </row>
    <row r="40" spans="1:24" x14ac:dyDescent="0.3">
      <c r="A40" s="1" t="s">
        <v>327</v>
      </c>
      <c r="B40" t="s">
        <v>328</v>
      </c>
      <c r="C40" t="s">
        <v>12</v>
      </c>
      <c r="D40" t="s">
        <v>329</v>
      </c>
      <c r="E40" t="s">
        <v>330</v>
      </c>
      <c r="F40" t="s">
        <v>260</v>
      </c>
      <c r="G40">
        <v>0.66117409236569802</v>
      </c>
      <c r="H40" s="1" t="s">
        <v>331</v>
      </c>
      <c r="I40" s="1" t="s">
        <v>332</v>
      </c>
      <c r="J40" s="1" t="s">
        <v>333</v>
      </c>
      <c r="K40" t="str">
        <f t="shared" si="10"/>
        <v>Poor</v>
      </c>
      <c r="L40" t="str">
        <f t="shared" si="11"/>
        <v>Poor</v>
      </c>
      <c r="M40" t="str">
        <f t="shared" si="12"/>
        <v>Poor</v>
      </c>
      <c r="N40" t="str">
        <f t="shared" si="3"/>
        <v>Balanced</v>
      </c>
      <c r="O40" t="str">
        <f t="shared" si="4"/>
        <v>HIGH</v>
      </c>
      <c r="P40" s="1" t="s">
        <v>910</v>
      </c>
      <c r="Q40" s="1" t="s">
        <v>911</v>
      </c>
      <c r="R40">
        <v>0.74628831546047203</v>
      </c>
      <c r="S40" s="1" t="s">
        <v>912</v>
      </c>
      <c r="T40" t="str">
        <f t="shared" si="5"/>
        <v>Poor</v>
      </c>
      <c r="U40" t="str">
        <f t="shared" si="6"/>
        <v>Poor</v>
      </c>
      <c r="V40" t="str">
        <f t="shared" si="7"/>
        <v>Poor</v>
      </c>
      <c r="W40" t="str">
        <f t="shared" si="8"/>
        <v>Under-segmentation</v>
      </c>
      <c r="X40" t="str">
        <f t="shared" si="9"/>
        <v>High</v>
      </c>
    </row>
    <row r="41" spans="1:24" x14ac:dyDescent="0.3">
      <c r="A41" s="1" t="s">
        <v>334</v>
      </c>
      <c r="B41" t="s">
        <v>335</v>
      </c>
      <c r="C41" t="s">
        <v>12</v>
      </c>
      <c r="D41" t="s">
        <v>336</v>
      </c>
      <c r="E41" t="s">
        <v>337</v>
      </c>
      <c r="F41" t="s">
        <v>260</v>
      </c>
      <c r="G41" s="1" t="s">
        <v>338</v>
      </c>
      <c r="H41" s="1" t="s">
        <v>339</v>
      </c>
      <c r="I41" s="1" t="s">
        <v>340</v>
      </c>
      <c r="J41" s="1" t="s">
        <v>341</v>
      </c>
      <c r="K41" t="str">
        <f t="shared" si="10"/>
        <v>Acceptable</v>
      </c>
      <c r="L41" t="str">
        <f t="shared" si="11"/>
        <v>Acceptable</v>
      </c>
      <c r="M41" t="str">
        <f t="shared" si="12"/>
        <v>Acceptable</v>
      </c>
      <c r="N41" t="str">
        <f t="shared" si="3"/>
        <v>Balanced</v>
      </c>
      <c r="O41" t="str">
        <f t="shared" si="4"/>
        <v>PASS</v>
      </c>
      <c r="P41" s="1" t="s">
        <v>913</v>
      </c>
      <c r="Q41">
        <v>0.19660841118307301</v>
      </c>
      <c r="R41" s="1" t="s">
        <v>914</v>
      </c>
      <c r="S41" s="1" t="s">
        <v>915</v>
      </c>
      <c r="T41" t="str">
        <f t="shared" si="5"/>
        <v>Poor</v>
      </c>
      <c r="U41" t="str">
        <f t="shared" si="6"/>
        <v>Poor</v>
      </c>
      <c r="V41" t="str">
        <f t="shared" si="7"/>
        <v>Poor</v>
      </c>
      <c r="W41" t="str">
        <f t="shared" si="8"/>
        <v>Under-segmentation</v>
      </c>
      <c r="X41" t="str">
        <f t="shared" si="9"/>
        <v>High</v>
      </c>
    </row>
    <row r="42" spans="1:24" x14ac:dyDescent="0.3">
      <c r="A42" s="1" t="s">
        <v>342</v>
      </c>
      <c r="B42" t="s">
        <v>343</v>
      </c>
      <c r="C42" t="s">
        <v>12</v>
      </c>
      <c r="D42" t="s">
        <v>344</v>
      </c>
      <c r="E42" t="s">
        <v>345</v>
      </c>
      <c r="F42" t="s">
        <v>119</v>
      </c>
      <c r="G42" s="1" t="s">
        <v>346</v>
      </c>
      <c r="H42" s="1" t="s">
        <v>347</v>
      </c>
      <c r="I42" s="1" t="s">
        <v>348</v>
      </c>
      <c r="J42" s="1" t="s">
        <v>349</v>
      </c>
      <c r="K42" t="str">
        <f t="shared" si="10"/>
        <v>Acceptable</v>
      </c>
      <c r="L42" t="str">
        <f t="shared" si="11"/>
        <v>Acceptable</v>
      </c>
      <c r="M42" t="str">
        <f t="shared" si="12"/>
        <v>Acceptable</v>
      </c>
      <c r="N42" t="str">
        <f t="shared" si="3"/>
        <v>Balanced</v>
      </c>
      <c r="O42" t="str">
        <f t="shared" si="4"/>
        <v>PASS</v>
      </c>
      <c r="P42" s="1" t="s">
        <v>916</v>
      </c>
      <c r="Q42" s="1" t="s">
        <v>917</v>
      </c>
      <c r="R42" s="1" t="s">
        <v>918</v>
      </c>
      <c r="S42" s="1" t="s">
        <v>919</v>
      </c>
      <c r="T42" t="str">
        <f t="shared" si="5"/>
        <v>Poor</v>
      </c>
      <c r="U42" t="str">
        <f t="shared" si="6"/>
        <v>Poor</v>
      </c>
      <c r="V42" t="str">
        <f t="shared" si="7"/>
        <v>Poor</v>
      </c>
      <c r="W42" t="str">
        <f t="shared" si="8"/>
        <v>Under-segmentation</v>
      </c>
      <c r="X42" t="str">
        <f t="shared" si="9"/>
        <v>High</v>
      </c>
    </row>
    <row r="43" spans="1:24" x14ac:dyDescent="0.3">
      <c r="A43" s="1" t="s">
        <v>350</v>
      </c>
      <c r="B43" t="s">
        <v>351</v>
      </c>
      <c r="C43" t="s">
        <v>12</v>
      </c>
      <c r="D43" t="s">
        <v>352</v>
      </c>
      <c r="E43" t="s">
        <v>353</v>
      </c>
      <c r="F43" t="s">
        <v>174</v>
      </c>
      <c r="G43" s="1" t="s">
        <v>354</v>
      </c>
      <c r="H43" s="1" t="s">
        <v>355</v>
      </c>
      <c r="I43" s="1" t="s">
        <v>356</v>
      </c>
      <c r="J43" s="1" t="s">
        <v>357</v>
      </c>
      <c r="K43" t="str">
        <f t="shared" si="10"/>
        <v>Acceptable</v>
      </c>
      <c r="L43" t="str">
        <f t="shared" si="11"/>
        <v>Acceptable</v>
      </c>
      <c r="M43" t="str">
        <f t="shared" si="12"/>
        <v>Acceptable</v>
      </c>
      <c r="N43" t="str">
        <f t="shared" si="3"/>
        <v>Balanced</v>
      </c>
      <c r="O43" t="str">
        <f t="shared" si="4"/>
        <v>PASS</v>
      </c>
      <c r="P43" s="1" t="s">
        <v>920</v>
      </c>
      <c r="Q43" s="1" t="s">
        <v>921</v>
      </c>
      <c r="R43">
        <v>0.85749499777845595</v>
      </c>
      <c r="S43" s="1" t="s">
        <v>922</v>
      </c>
      <c r="T43" t="str">
        <f t="shared" si="5"/>
        <v>Poor</v>
      </c>
      <c r="U43" t="str">
        <f t="shared" si="6"/>
        <v>Poor</v>
      </c>
      <c r="V43" t="str">
        <f t="shared" si="7"/>
        <v>Poor</v>
      </c>
      <c r="W43" t="str">
        <f t="shared" si="8"/>
        <v>Under-segmentation</v>
      </c>
      <c r="X43" t="str">
        <f t="shared" si="9"/>
        <v>High</v>
      </c>
    </row>
    <row r="44" spans="1:24" x14ac:dyDescent="0.3">
      <c r="A44" s="1" t="s">
        <v>358</v>
      </c>
      <c r="B44" t="s">
        <v>359</v>
      </c>
      <c r="C44" t="s">
        <v>12</v>
      </c>
      <c r="D44" t="s">
        <v>360</v>
      </c>
      <c r="E44" t="s">
        <v>361</v>
      </c>
      <c r="F44" t="s">
        <v>362</v>
      </c>
      <c r="G44" s="1" t="s">
        <v>363</v>
      </c>
      <c r="H44">
        <v>0.60828063717650305</v>
      </c>
      <c r="I44" s="1" t="s">
        <v>364</v>
      </c>
      <c r="J44" s="1" t="s">
        <v>365</v>
      </c>
      <c r="K44" t="str">
        <f t="shared" si="10"/>
        <v>Acceptable</v>
      </c>
      <c r="L44" t="str">
        <f t="shared" si="11"/>
        <v>Acceptable</v>
      </c>
      <c r="M44" t="str">
        <f t="shared" si="12"/>
        <v>Acceptable</v>
      </c>
      <c r="N44" t="str">
        <f t="shared" si="3"/>
        <v>Balanced</v>
      </c>
      <c r="O44" t="str">
        <f t="shared" si="4"/>
        <v>PASS</v>
      </c>
      <c r="P44" s="1" t="s">
        <v>923</v>
      </c>
      <c r="Q44" s="1" t="s">
        <v>924</v>
      </c>
      <c r="R44" s="1" t="s">
        <v>925</v>
      </c>
      <c r="S44" s="1" t="s">
        <v>926</v>
      </c>
      <c r="T44" t="str">
        <f t="shared" si="5"/>
        <v>Poor</v>
      </c>
      <c r="U44" t="str">
        <f t="shared" si="6"/>
        <v>Poor</v>
      </c>
      <c r="V44" t="str">
        <f t="shared" si="7"/>
        <v>Poor</v>
      </c>
      <c r="W44" t="str">
        <f t="shared" si="8"/>
        <v>Over-segmentation</v>
      </c>
      <c r="X44" t="str">
        <f t="shared" si="9"/>
        <v>High</v>
      </c>
    </row>
    <row r="45" spans="1:24" x14ac:dyDescent="0.3">
      <c r="A45" s="1" t="s">
        <v>366</v>
      </c>
      <c r="B45" t="s">
        <v>367</v>
      </c>
      <c r="C45" t="s">
        <v>12</v>
      </c>
      <c r="D45" t="s">
        <v>368</v>
      </c>
      <c r="E45" t="s">
        <v>369</v>
      </c>
      <c r="F45" t="s">
        <v>370</v>
      </c>
      <c r="G45" s="1" t="s">
        <v>371</v>
      </c>
      <c r="H45" s="1" t="s">
        <v>372</v>
      </c>
      <c r="I45" s="1" t="s">
        <v>373</v>
      </c>
      <c r="J45" s="1" t="s">
        <v>374</v>
      </c>
      <c r="K45" t="str">
        <f t="shared" si="10"/>
        <v>Acceptable</v>
      </c>
      <c r="L45" t="str">
        <f t="shared" si="11"/>
        <v>Poor</v>
      </c>
      <c r="M45" t="str">
        <f t="shared" si="12"/>
        <v>Poor</v>
      </c>
      <c r="N45" t="str">
        <f t="shared" si="3"/>
        <v>Balanced</v>
      </c>
      <c r="O45" t="str">
        <f t="shared" si="4"/>
        <v>HIGH</v>
      </c>
      <c r="P45" s="1" t="s">
        <v>927</v>
      </c>
      <c r="Q45" s="1" t="s">
        <v>928</v>
      </c>
      <c r="R45" s="1" t="s">
        <v>929</v>
      </c>
      <c r="S45" s="1" t="s">
        <v>930</v>
      </c>
      <c r="T45" t="str">
        <f t="shared" si="5"/>
        <v>Poor</v>
      </c>
      <c r="U45" t="str">
        <f t="shared" si="6"/>
        <v>Poor</v>
      </c>
      <c r="V45" t="str">
        <f t="shared" si="7"/>
        <v>Poor</v>
      </c>
      <c r="W45" t="str">
        <f t="shared" si="8"/>
        <v>Under-segmentation</v>
      </c>
      <c r="X45" t="str">
        <f t="shared" si="9"/>
        <v>High</v>
      </c>
    </row>
    <row r="46" spans="1:24" x14ac:dyDescent="0.3">
      <c r="A46" s="1" t="s">
        <v>375</v>
      </c>
      <c r="B46" t="s">
        <v>376</v>
      </c>
      <c r="C46" t="s">
        <v>12</v>
      </c>
      <c r="D46" t="s">
        <v>377</v>
      </c>
      <c r="E46" t="s">
        <v>378</v>
      </c>
      <c r="F46" t="s">
        <v>174</v>
      </c>
      <c r="G46">
        <v>0.60259616864861099</v>
      </c>
      <c r="H46" s="1" t="s">
        <v>379</v>
      </c>
      <c r="I46" s="1" t="s">
        <v>380</v>
      </c>
      <c r="J46" s="1" t="s">
        <v>381</v>
      </c>
      <c r="K46" t="str">
        <f t="shared" si="10"/>
        <v>Poor</v>
      </c>
      <c r="L46" t="str">
        <f t="shared" si="11"/>
        <v>Poor</v>
      </c>
      <c r="M46" t="str">
        <f t="shared" si="12"/>
        <v>Poor</v>
      </c>
      <c r="N46" t="str">
        <f t="shared" si="3"/>
        <v>Over-seg</v>
      </c>
      <c r="O46" t="str">
        <f t="shared" si="4"/>
        <v>HIGH</v>
      </c>
      <c r="P46" s="1" t="s">
        <v>931</v>
      </c>
      <c r="Q46" s="1" t="s">
        <v>932</v>
      </c>
      <c r="R46" s="1" t="s">
        <v>933</v>
      </c>
      <c r="S46" s="1" t="s">
        <v>934</v>
      </c>
      <c r="T46" t="str">
        <f t="shared" si="5"/>
        <v>Poor</v>
      </c>
      <c r="U46" t="str">
        <f t="shared" si="6"/>
        <v>Poor</v>
      </c>
      <c r="V46" t="str">
        <f t="shared" si="7"/>
        <v>Poor</v>
      </c>
      <c r="W46" t="str">
        <f t="shared" si="8"/>
        <v>Under-segmentation</v>
      </c>
      <c r="X46" t="str">
        <f t="shared" si="9"/>
        <v>High</v>
      </c>
    </row>
    <row r="47" spans="1:24" x14ac:dyDescent="0.3">
      <c r="A47" s="1" t="s">
        <v>382</v>
      </c>
      <c r="B47" t="s">
        <v>383</v>
      </c>
      <c r="C47" t="s">
        <v>12</v>
      </c>
      <c r="D47" t="s">
        <v>384</v>
      </c>
      <c r="E47" t="s">
        <v>385</v>
      </c>
      <c r="F47" t="s">
        <v>386</v>
      </c>
      <c r="G47" s="1" t="s">
        <v>387</v>
      </c>
      <c r="H47" s="1" t="s">
        <v>388</v>
      </c>
      <c r="I47" s="1" t="s">
        <v>389</v>
      </c>
      <c r="J47" s="1" t="s">
        <v>390</v>
      </c>
      <c r="K47" t="str">
        <f t="shared" si="10"/>
        <v>Poor</v>
      </c>
      <c r="L47" t="str">
        <f t="shared" si="11"/>
        <v>Poor</v>
      </c>
      <c r="M47" t="str">
        <f t="shared" si="12"/>
        <v>Poor</v>
      </c>
      <c r="N47" t="str">
        <f t="shared" si="3"/>
        <v>Balanced</v>
      </c>
      <c r="O47" t="str">
        <f t="shared" si="4"/>
        <v>HIGH</v>
      </c>
      <c r="P47" s="1" t="s">
        <v>935</v>
      </c>
      <c r="Q47" s="1" t="s">
        <v>936</v>
      </c>
      <c r="R47" s="1" t="s">
        <v>937</v>
      </c>
      <c r="S47" s="1" t="s">
        <v>938</v>
      </c>
      <c r="T47" t="str">
        <f t="shared" si="5"/>
        <v>Poor</v>
      </c>
      <c r="U47" t="str">
        <f t="shared" si="6"/>
        <v>Poor</v>
      </c>
      <c r="V47" t="str">
        <f t="shared" si="7"/>
        <v>Poor</v>
      </c>
      <c r="W47" t="str">
        <f t="shared" si="8"/>
        <v>Under-segmentation</v>
      </c>
      <c r="X47" t="str">
        <f t="shared" si="9"/>
        <v>High</v>
      </c>
    </row>
    <row r="48" spans="1:24" x14ac:dyDescent="0.3">
      <c r="A48" s="1" t="s">
        <v>391</v>
      </c>
      <c r="B48" t="s">
        <v>392</v>
      </c>
      <c r="C48" t="s">
        <v>12</v>
      </c>
      <c r="D48" t="s">
        <v>393</v>
      </c>
      <c r="E48" t="s">
        <v>394</v>
      </c>
      <c r="F48" t="s">
        <v>276</v>
      </c>
      <c r="G48">
        <v>0.74621928307234497</v>
      </c>
      <c r="H48">
        <v>0.59517527506797896</v>
      </c>
      <c r="I48" s="1" t="s">
        <v>395</v>
      </c>
      <c r="J48">
        <v>0.76763731235239696</v>
      </c>
      <c r="K48" t="str">
        <f t="shared" si="10"/>
        <v>Acceptable</v>
      </c>
      <c r="L48" t="str">
        <f t="shared" si="11"/>
        <v>Acceptable</v>
      </c>
      <c r="M48" t="str">
        <f t="shared" si="12"/>
        <v>Acceptable</v>
      </c>
      <c r="N48" t="str">
        <f t="shared" si="3"/>
        <v>Balanced</v>
      </c>
      <c r="O48" t="str">
        <f t="shared" si="4"/>
        <v>PASS</v>
      </c>
      <c r="P48" s="1" t="s">
        <v>939</v>
      </c>
      <c r="Q48" s="1" t="s">
        <v>940</v>
      </c>
      <c r="R48" s="1" t="s">
        <v>941</v>
      </c>
      <c r="S48" s="1" t="s">
        <v>942</v>
      </c>
      <c r="T48" t="str">
        <f t="shared" si="5"/>
        <v>Poor</v>
      </c>
      <c r="U48" t="str">
        <f t="shared" si="6"/>
        <v>Poor</v>
      </c>
      <c r="V48" t="str">
        <f t="shared" si="7"/>
        <v>Poor</v>
      </c>
      <c r="W48" t="str">
        <f t="shared" si="8"/>
        <v>Under-segmentation</v>
      </c>
      <c r="X48" t="str">
        <f t="shared" si="9"/>
        <v>High</v>
      </c>
    </row>
    <row r="49" spans="1:24" x14ac:dyDescent="0.3">
      <c r="A49" s="1" t="s">
        <v>396</v>
      </c>
      <c r="B49" t="s">
        <v>397</v>
      </c>
      <c r="C49" t="s">
        <v>12</v>
      </c>
      <c r="D49" t="s">
        <v>398</v>
      </c>
      <c r="E49" t="s">
        <v>399</v>
      </c>
      <c r="F49" t="s">
        <v>174</v>
      </c>
      <c r="G49" s="1" t="s">
        <v>400</v>
      </c>
      <c r="H49">
        <v>0.628241441396725</v>
      </c>
      <c r="I49" s="1" t="s">
        <v>401</v>
      </c>
      <c r="J49" s="1" t="s">
        <v>402</v>
      </c>
      <c r="K49" t="str">
        <f t="shared" si="10"/>
        <v>Acceptable</v>
      </c>
      <c r="L49" t="str">
        <f t="shared" si="11"/>
        <v>Acceptable</v>
      </c>
      <c r="M49" t="str">
        <f t="shared" si="12"/>
        <v>Acceptable</v>
      </c>
      <c r="N49" t="str">
        <f t="shared" si="3"/>
        <v>Balanced</v>
      </c>
      <c r="O49" t="str">
        <f t="shared" si="4"/>
        <v>PASS</v>
      </c>
      <c r="P49">
        <v>0.52088584791277703</v>
      </c>
      <c r="Q49" s="1" t="s">
        <v>943</v>
      </c>
      <c r="R49" s="1" t="s">
        <v>944</v>
      </c>
      <c r="S49" s="1" t="s">
        <v>945</v>
      </c>
      <c r="T49" t="str">
        <f t="shared" si="5"/>
        <v>Poor</v>
      </c>
      <c r="U49" t="str">
        <f t="shared" si="6"/>
        <v>Poor</v>
      </c>
      <c r="V49" t="str">
        <f t="shared" si="7"/>
        <v>Poor</v>
      </c>
      <c r="W49" t="str">
        <f t="shared" si="8"/>
        <v>Under-segmentation</v>
      </c>
      <c r="X49" t="str">
        <f t="shared" si="9"/>
        <v>High</v>
      </c>
    </row>
    <row r="50" spans="1:24" x14ac:dyDescent="0.3">
      <c r="A50" s="1" t="s">
        <v>403</v>
      </c>
      <c r="B50" t="s">
        <v>404</v>
      </c>
      <c r="C50" t="s">
        <v>12</v>
      </c>
      <c r="D50" t="s">
        <v>405</v>
      </c>
      <c r="E50" t="s">
        <v>406</v>
      </c>
      <c r="F50" t="s">
        <v>199</v>
      </c>
      <c r="G50" s="1" t="s">
        <v>407</v>
      </c>
      <c r="H50" s="1" t="s">
        <v>408</v>
      </c>
      <c r="I50" s="1" t="s">
        <v>409</v>
      </c>
      <c r="J50" s="1" t="s">
        <v>410</v>
      </c>
      <c r="K50" t="str">
        <f t="shared" si="10"/>
        <v>Acceptable</v>
      </c>
      <c r="L50" t="str">
        <f t="shared" si="11"/>
        <v>Acceptable</v>
      </c>
      <c r="M50" t="str">
        <f t="shared" si="12"/>
        <v>Acceptable</v>
      </c>
      <c r="N50" t="str">
        <f t="shared" si="3"/>
        <v>Balanced</v>
      </c>
      <c r="O50" t="str">
        <f t="shared" si="4"/>
        <v>PASS</v>
      </c>
      <c r="P50" s="1" t="s">
        <v>946</v>
      </c>
      <c r="Q50" s="1" t="s">
        <v>947</v>
      </c>
      <c r="R50" s="1" t="s">
        <v>948</v>
      </c>
      <c r="S50" s="1" t="s">
        <v>949</v>
      </c>
      <c r="T50" t="str">
        <f t="shared" si="5"/>
        <v>Poor</v>
      </c>
      <c r="U50" t="str">
        <f t="shared" si="6"/>
        <v>Poor</v>
      </c>
      <c r="V50" t="str">
        <f t="shared" si="7"/>
        <v>Poor</v>
      </c>
      <c r="W50" t="str">
        <f t="shared" si="8"/>
        <v>Under-segmentation</v>
      </c>
      <c r="X50" t="str">
        <f t="shared" si="9"/>
        <v>High</v>
      </c>
    </row>
    <row r="51" spans="1:24" x14ac:dyDescent="0.3">
      <c r="A51" s="1" t="s">
        <v>411</v>
      </c>
      <c r="B51" t="s">
        <v>412</v>
      </c>
      <c r="C51" t="s">
        <v>12</v>
      </c>
      <c r="D51" t="s">
        <v>413</v>
      </c>
      <c r="E51" t="s">
        <v>414</v>
      </c>
      <c r="F51" t="s">
        <v>260</v>
      </c>
      <c r="G51" s="1" t="s">
        <v>415</v>
      </c>
      <c r="H51" s="1" t="s">
        <v>416</v>
      </c>
      <c r="I51" s="1" t="s">
        <v>417</v>
      </c>
      <c r="J51" s="1" t="s">
        <v>418</v>
      </c>
      <c r="K51" t="str">
        <f t="shared" si="10"/>
        <v>Poor</v>
      </c>
      <c r="L51" t="str">
        <f t="shared" si="11"/>
        <v>Poor</v>
      </c>
      <c r="M51" t="str">
        <f t="shared" si="12"/>
        <v>Poor</v>
      </c>
      <c r="N51" t="str">
        <f t="shared" si="3"/>
        <v>Over-seg</v>
      </c>
      <c r="O51" t="str">
        <f t="shared" si="4"/>
        <v>HIGH</v>
      </c>
      <c r="P51" s="1" t="s">
        <v>950</v>
      </c>
      <c r="Q51" s="1" t="s">
        <v>951</v>
      </c>
      <c r="R51" s="1" t="s">
        <v>952</v>
      </c>
      <c r="S51" s="1" t="s">
        <v>953</v>
      </c>
      <c r="T51" t="str">
        <f t="shared" si="5"/>
        <v>Poor</v>
      </c>
      <c r="U51" t="str">
        <f t="shared" si="6"/>
        <v>Poor</v>
      </c>
      <c r="V51" t="str">
        <f t="shared" si="7"/>
        <v>Poor</v>
      </c>
      <c r="W51" t="str">
        <f t="shared" si="8"/>
        <v>Under-segmentation</v>
      </c>
      <c r="X51" t="str">
        <f t="shared" si="9"/>
        <v>High</v>
      </c>
    </row>
    <row r="52" spans="1:24" x14ac:dyDescent="0.3">
      <c r="A52" s="1" t="s">
        <v>419</v>
      </c>
      <c r="B52" t="s">
        <v>420</v>
      </c>
      <c r="C52" t="s">
        <v>12</v>
      </c>
      <c r="D52" t="s">
        <v>421</v>
      </c>
      <c r="E52" t="s">
        <v>422</v>
      </c>
      <c r="F52" t="s">
        <v>260</v>
      </c>
      <c r="G52" s="1" t="s">
        <v>423</v>
      </c>
      <c r="H52" s="1" t="s">
        <v>424</v>
      </c>
      <c r="I52" s="1" t="s">
        <v>425</v>
      </c>
      <c r="J52" s="1" t="s">
        <v>426</v>
      </c>
      <c r="K52" t="str">
        <f t="shared" si="10"/>
        <v>Poor</v>
      </c>
      <c r="L52" t="str">
        <f t="shared" si="11"/>
        <v>Poor</v>
      </c>
      <c r="M52" t="str">
        <f t="shared" si="12"/>
        <v>Poor</v>
      </c>
      <c r="N52" t="str">
        <f t="shared" si="3"/>
        <v>Over-seg</v>
      </c>
      <c r="O52" t="str">
        <f t="shared" si="4"/>
        <v>HIGH</v>
      </c>
      <c r="P52" s="1" t="s">
        <v>954</v>
      </c>
      <c r="Q52" s="1" t="s">
        <v>955</v>
      </c>
      <c r="R52" s="1" t="s">
        <v>956</v>
      </c>
      <c r="S52" s="1" t="s">
        <v>957</v>
      </c>
      <c r="T52" t="str">
        <f t="shared" si="5"/>
        <v>Poor</v>
      </c>
      <c r="U52" t="str">
        <f t="shared" si="6"/>
        <v>Poor</v>
      </c>
      <c r="V52" t="str">
        <f t="shared" si="7"/>
        <v>Poor</v>
      </c>
      <c r="W52" t="str">
        <f t="shared" si="8"/>
        <v>Under-segmentation</v>
      </c>
      <c r="X52" t="str">
        <f t="shared" si="9"/>
        <v>High</v>
      </c>
    </row>
    <row r="53" spans="1:24" x14ac:dyDescent="0.3">
      <c r="A53" s="1" t="s">
        <v>419</v>
      </c>
      <c r="B53" t="s">
        <v>427</v>
      </c>
      <c r="C53" t="s">
        <v>12</v>
      </c>
      <c r="D53" t="s">
        <v>428</v>
      </c>
      <c r="E53" t="s">
        <v>429</v>
      </c>
      <c r="F53" t="s">
        <v>199</v>
      </c>
      <c r="G53" s="1" t="s">
        <v>430</v>
      </c>
      <c r="H53" s="1" t="s">
        <v>431</v>
      </c>
      <c r="I53" s="1" t="s">
        <v>432</v>
      </c>
      <c r="J53" s="1" t="s">
        <v>433</v>
      </c>
      <c r="K53" t="str">
        <f t="shared" si="10"/>
        <v>Acceptable</v>
      </c>
      <c r="L53" t="str">
        <f t="shared" si="11"/>
        <v>Acceptable</v>
      </c>
      <c r="M53" t="str">
        <f t="shared" si="12"/>
        <v>Acceptable</v>
      </c>
      <c r="N53" t="str">
        <f t="shared" si="3"/>
        <v>Over-seg</v>
      </c>
      <c r="O53" t="str">
        <f t="shared" si="4"/>
        <v>MEDIUM</v>
      </c>
      <c r="P53" s="1" t="s">
        <v>958</v>
      </c>
      <c r="Q53" s="1" t="s">
        <v>959</v>
      </c>
      <c r="R53" s="1" t="s">
        <v>960</v>
      </c>
      <c r="S53" s="1" t="s">
        <v>961</v>
      </c>
      <c r="T53" t="str">
        <f t="shared" si="5"/>
        <v>Poor</v>
      </c>
      <c r="U53" t="str">
        <f t="shared" si="6"/>
        <v>Poor</v>
      </c>
      <c r="V53" t="str">
        <f t="shared" si="7"/>
        <v>Poor</v>
      </c>
      <c r="W53" t="str">
        <f t="shared" si="8"/>
        <v>Under-segmentation</v>
      </c>
      <c r="X53" t="str">
        <f t="shared" si="9"/>
        <v>High</v>
      </c>
    </row>
    <row r="54" spans="1:24" x14ac:dyDescent="0.3">
      <c r="A54" s="1" t="s">
        <v>434</v>
      </c>
      <c r="B54" t="s">
        <v>435</v>
      </c>
      <c r="C54" t="s">
        <v>12</v>
      </c>
      <c r="D54" t="s">
        <v>436</v>
      </c>
      <c r="E54" t="s">
        <v>437</v>
      </c>
      <c r="F54" t="s">
        <v>199</v>
      </c>
      <c r="G54">
        <v>0.74030290562104395</v>
      </c>
      <c r="H54" s="1" t="s">
        <v>438</v>
      </c>
      <c r="I54" s="1" t="s">
        <v>439</v>
      </c>
      <c r="J54" s="1" t="s">
        <v>440</v>
      </c>
      <c r="K54" t="str">
        <f t="shared" si="10"/>
        <v>Acceptable</v>
      </c>
      <c r="L54" t="str">
        <f t="shared" si="11"/>
        <v>Acceptable</v>
      </c>
      <c r="M54" t="str">
        <f t="shared" si="12"/>
        <v>Acceptable</v>
      </c>
      <c r="N54" t="str">
        <f t="shared" si="3"/>
        <v>Balanced</v>
      </c>
      <c r="O54" t="str">
        <f t="shared" si="4"/>
        <v>PASS</v>
      </c>
      <c r="P54" s="1" t="s">
        <v>962</v>
      </c>
      <c r="Q54" s="1" t="s">
        <v>963</v>
      </c>
      <c r="R54" s="1" t="s">
        <v>964</v>
      </c>
      <c r="S54" s="1" t="s">
        <v>965</v>
      </c>
      <c r="T54" t="str">
        <f t="shared" si="5"/>
        <v>Poor</v>
      </c>
      <c r="U54" t="str">
        <f t="shared" si="6"/>
        <v>Poor</v>
      </c>
      <c r="V54" t="str">
        <f t="shared" si="7"/>
        <v>Poor</v>
      </c>
      <c r="W54" t="str">
        <f t="shared" si="8"/>
        <v>Under-segmentation</v>
      </c>
      <c r="X54" t="str">
        <f t="shared" si="9"/>
        <v>High</v>
      </c>
    </row>
    <row r="55" spans="1:24" x14ac:dyDescent="0.3">
      <c r="A55" s="1" t="s">
        <v>441</v>
      </c>
      <c r="B55" t="s">
        <v>442</v>
      </c>
      <c r="C55" t="s">
        <v>12</v>
      </c>
      <c r="D55" t="s">
        <v>443</v>
      </c>
      <c r="E55" t="s">
        <v>444</v>
      </c>
      <c r="F55" t="s">
        <v>111</v>
      </c>
      <c r="G55" s="1" t="s">
        <v>445</v>
      </c>
      <c r="H55" s="1" t="s">
        <v>446</v>
      </c>
      <c r="I55" s="1" t="s">
        <v>447</v>
      </c>
      <c r="J55" s="1" t="s">
        <v>448</v>
      </c>
      <c r="K55" t="str">
        <f t="shared" si="10"/>
        <v>Acceptable</v>
      </c>
      <c r="L55" t="str">
        <f t="shared" si="11"/>
        <v>Acceptable</v>
      </c>
      <c r="M55" t="str">
        <f t="shared" si="12"/>
        <v>Acceptable</v>
      </c>
      <c r="N55" t="str">
        <f t="shared" si="3"/>
        <v>Balanced</v>
      </c>
      <c r="O55" t="str">
        <f t="shared" si="4"/>
        <v>PASS</v>
      </c>
      <c r="P55" s="1" t="s">
        <v>966</v>
      </c>
      <c r="Q55">
        <v>9.2402101808221601E-2</v>
      </c>
      <c r="R55" s="1" t="s">
        <v>967</v>
      </c>
      <c r="S55">
        <v>9.3619521612205506E-2</v>
      </c>
      <c r="T55" t="str">
        <f t="shared" si="5"/>
        <v>Poor</v>
      </c>
      <c r="U55" t="str">
        <f t="shared" si="6"/>
        <v>Poor</v>
      </c>
      <c r="V55" t="str">
        <f t="shared" si="7"/>
        <v>Poor</v>
      </c>
      <c r="W55" t="str">
        <f t="shared" si="8"/>
        <v>Under-segmentation</v>
      </c>
      <c r="X55" t="str">
        <f t="shared" si="9"/>
        <v>High</v>
      </c>
    </row>
    <row r="56" spans="1:24" x14ac:dyDescent="0.3">
      <c r="A56" s="1" t="s">
        <v>449</v>
      </c>
      <c r="B56" t="s">
        <v>450</v>
      </c>
      <c r="C56" t="s">
        <v>12</v>
      </c>
      <c r="D56" t="s">
        <v>451</v>
      </c>
      <c r="E56" t="s">
        <v>452</v>
      </c>
      <c r="F56" t="s">
        <v>453</v>
      </c>
      <c r="G56" s="1" t="s">
        <v>454</v>
      </c>
      <c r="H56" s="1" t="s">
        <v>455</v>
      </c>
      <c r="I56" s="1" t="s">
        <v>456</v>
      </c>
      <c r="J56" s="1" t="s">
        <v>457</v>
      </c>
      <c r="K56" t="str">
        <f t="shared" si="10"/>
        <v>Poor</v>
      </c>
      <c r="L56" t="str">
        <f t="shared" si="11"/>
        <v>Poor</v>
      </c>
      <c r="M56" t="str">
        <f t="shared" si="12"/>
        <v>Poor</v>
      </c>
      <c r="N56" t="str">
        <f t="shared" si="3"/>
        <v>Over-seg</v>
      </c>
      <c r="O56" t="str">
        <f t="shared" si="4"/>
        <v>HIGH</v>
      </c>
      <c r="P56" s="1" t="s">
        <v>968</v>
      </c>
      <c r="Q56" s="1" t="s">
        <v>969</v>
      </c>
      <c r="R56">
        <v>0.59909504914360001</v>
      </c>
      <c r="S56" s="1" t="s">
        <v>970</v>
      </c>
      <c r="T56" t="str">
        <f t="shared" si="5"/>
        <v>Poor</v>
      </c>
      <c r="U56" t="str">
        <f t="shared" si="6"/>
        <v>Poor</v>
      </c>
      <c r="V56" t="str">
        <f t="shared" si="7"/>
        <v>Poor</v>
      </c>
      <c r="W56" t="str">
        <f t="shared" si="8"/>
        <v>Under-segmentation</v>
      </c>
      <c r="X56" t="str">
        <f t="shared" si="9"/>
        <v>High</v>
      </c>
    </row>
    <row r="57" spans="1:24" x14ac:dyDescent="0.3">
      <c r="A57" s="1" t="s">
        <v>449</v>
      </c>
      <c r="B57" t="s">
        <v>458</v>
      </c>
      <c r="C57" t="s">
        <v>12</v>
      </c>
      <c r="D57" t="s">
        <v>459</v>
      </c>
      <c r="E57" t="s">
        <v>460</v>
      </c>
      <c r="F57" t="s">
        <v>260</v>
      </c>
      <c r="G57" s="1" t="s">
        <v>461</v>
      </c>
      <c r="H57" s="1" t="s">
        <v>462</v>
      </c>
      <c r="I57">
        <v>0.66300223768542699</v>
      </c>
      <c r="J57" s="1" t="s">
        <v>463</v>
      </c>
      <c r="K57" t="str">
        <f t="shared" si="10"/>
        <v>Acceptable</v>
      </c>
      <c r="L57" t="str">
        <f t="shared" si="11"/>
        <v>Acceptable</v>
      </c>
      <c r="M57" t="str">
        <f t="shared" si="12"/>
        <v>Acceptable</v>
      </c>
      <c r="N57" t="str">
        <f t="shared" si="3"/>
        <v>Balanced</v>
      </c>
      <c r="O57" t="str">
        <f t="shared" si="4"/>
        <v>PASS</v>
      </c>
      <c r="P57" s="1" t="s">
        <v>971</v>
      </c>
      <c r="Q57" s="1" t="s">
        <v>972</v>
      </c>
      <c r="R57" s="1" t="s">
        <v>973</v>
      </c>
      <c r="S57" s="1" t="s">
        <v>974</v>
      </c>
      <c r="T57" t="str">
        <f t="shared" si="5"/>
        <v>Poor</v>
      </c>
      <c r="U57" t="str">
        <f t="shared" si="6"/>
        <v>Poor</v>
      </c>
      <c r="V57" t="str">
        <f t="shared" si="7"/>
        <v>Poor</v>
      </c>
      <c r="W57" t="str">
        <f t="shared" si="8"/>
        <v>Under-segmentation</v>
      </c>
      <c r="X57" t="str">
        <f t="shared" si="9"/>
        <v>High</v>
      </c>
    </row>
    <row r="58" spans="1:24" x14ac:dyDescent="0.3">
      <c r="A58" s="1" t="s">
        <v>464</v>
      </c>
      <c r="B58" t="s">
        <v>465</v>
      </c>
      <c r="C58" t="s">
        <v>12</v>
      </c>
      <c r="D58" t="s">
        <v>466</v>
      </c>
      <c r="E58" t="s">
        <v>467</v>
      </c>
      <c r="F58" t="s">
        <v>260</v>
      </c>
      <c r="G58" s="1" t="s">
        <v>468</v>
      </c>
      <c r="H58" s="1" t="s">
        <v>469</v>
      </c>
      <c r="I58" s="1" t="s">
        <v>470</v>
      </c>
      <c r="J58" s="1" t="s">
        <v>471</v>
      </c>
      <c r="K58" t="str">
        <f t="shared" si="10"/>
        <v>Good</v>
      </c>
      <c r="L58" t="str">
        <f t="shared" si="11"/>
        <v>Good</v>
      </c>
      <c r="M58" t="str">
        <f t="shared" si="12"/>
        <v>Good</v>
      </c>
      <c r="N58" t="str">
        <f t="shared" si="3"/>
        <v>Balanced</v>
      </c>
      <c r="O58" t="str">
        <f t="shared" si="4"/>
        <v>PASS</v>
      </c>
      <c r="P58" s="1" t="s">
        <v>975</v>
      </c>
      <c r="Q58" s="1" t="s">
        <v>976</v>
      </c>
      <c r="R58">
        <v>0.79300932810746605</v>
      </c>
      <c r="S58" s="1" t="s">
        <v>977</v>
      </c>
      <c r="T58" t="str">
        <f t="shared" si="5"/>
        <v>Poor</v>
      </c>
      <c r="U58" t="str">
        <f t="shared" si="6"/>
        <v>Poor</v>
      </c>
      <c r="V58" t="str">
        <f t="shared" si="7"/>
        <v>Poor</v>
      </c>
      <c r="W58" t="str">
        <f t="shared" si="8"/>
        <v>Under-segmentation</v>
      </c>
      <c r="X58" t="str">
        <f t="shared" si="9"/>
        <v>High</v>
      </c>
    </row>
    <row r="59" spans="1:24" x14ac:dyDescent="0.3">
      <c r="A59" s="1" t="s">
        <v>472</v>
      </c>
      <c r="B59" t="s">
        <v>473</v>
      </c>
      <c r="C59" t="s">
        <v>12</v>
      </c>
      <c r="D59" t="s">
        <v>474</v>
      </c>
      <c r="E59" t="s">
        <v>475</v>
      </c>
      <c r="F59" t="s">
        <v>199</v>
      </c>
      <c r="G59" s="1" t="s">
        <v>476</v>
      </c>
      <c r="H59" s="1" t="s">
        <v>477</v>
      </c>
      <c r="I59">
        <v>0.56247701810056605</v>
      </c>
      <c r="J59" s="1" t="s">
        <v>478</v>
      </c>
      <c r="K59" t="str">
        <f t="shared" si="10"/>
        <v>Poor</v>
      </c>
      <c r="L59" t="str">
        <f t="shared" si="11"/>
        <v>Poor</v>
      </c>
      <c r="M59" t="str">
        <f t="shared" si="12"/>
        <v>Poor</v>
      </c>
      <c r="N59" t="str">
        <f t="shared" si="3"/>
        <v>Over-seg</v>
      </c>
      <c r="O59" t="str">
        <f t="shared" si="4"/>
        <v>HIGH</v>
      </c>
      <c r="P59" s="1" t="s">
        <v>978</v>
      </c>
      <c r="Q59" s="1" t="s">
        <v>979</v>
      </c>
      <c r="R59" s="1" t="s">
        <v>980</v>
      </c>
      <c r="S59" s="1" t="s">
        <v>981</v>
      </c>
      <c r="T59" t="str">
        <f t="shared" si="5"/>
        <v>Poor</v>
      </c>
      <c r="U59" t="str">
        <f t="shared" si="6"/>
        <v>Poor</v>
      </c>
      <c r="V59" t="str">
        <f t="shared" si="7"/>
        <v>Poor</v>
      </c>
      <c r="W59" t="str">
        <f t="shared" si="8"/>
        <v>Under-segmentation</v>
      </c>
      <c r="X59" t="str">
        <f t="shared" si="9"/>
        <v>High</v>
      </c>
    </row>
    <row r="60" spans="1:24" x14ac:dyDescent="0.3">
      <c r="A60" s="1" t="s">
        <v>479</v>
      </c>
      <c r="B60" t="s">
        <v>480</v>
      </c>
      <c r="C60" t="s">
        <v>12</v>
      </c>
      <c r="D60" t="s">
        <v>481</v>
      </c>
      <c r="E60" t="s">
        <v>482</v>
      </c>
      <c r="F60" t="s">
        <v>260</v>
      </c>
      <c r="G60" s="1" t="s">
        <v>483</v>
      </c>
      <c r="H60" s="1" t="s">
        <v>484</v>
      </c>
      <c r="I60" s="1" t="s">
        <v>485</v>
      </c>
      <c r="J60" s="1" t="s">
        <v>486</v>
      </c>
      <c r="K60" t="str">
        <f t="shared" si="10"/>
        <v>Acceptable</v>
      </c>
      <c r="L60" t="str">
        <f t="shared" si="11"/>
        <v>Acceptable</v>
      </c>
      <c r="M60" t="str">
        <f t="shared" si="12"/>
        <v>Acceptable</v>
      </c>
      <c r="N60" t="str">
        <f t="shared" si="3"/>
        <v>Over-seg</v>
      </c>
      <c r="O60" t="str">
        <f t="shared" si="4"/>
        <v>MEDIUM</v>
      </c>
      <c r="P60">
        <v>0.41160677902227699</v>
      </c>
      <c r="Q60" s="1" t="s">
        <v>982</v>
      </c>
      <c r="R60" s="1" t="s">
        <v>983</v>
      </c>
      <c r="S60">
        <v>0.26408907782660601</v>
      </c>
      <c r="T60" t="str">
        <f t="shared" si="5"/>
        <v>Poor</v>
      </c>
      <c r="U60" t="str">
        <f t="shared" si="6"/>
        <v>Poor</v>
      </c>
      <c r="V60" t="str">
        <f t="shared" si="7"/>
        <v>Poor</v>
      </c>
      <c r="W60" t="str">
        <f t="shared" si="8"/>
        <v>Under-segmentation</v>
      </c>
      <c r="X60" t="str">
        <f t="shared" si="9"/>
        <v>High</v>
      </c>
    </row>
    <row r="61" spans="1:24" x14ac:dyDescent="0.3">
      <c r="A61" s="1" t="s">
        <v>487</v>
      </c>
      <c r="B61" t="s">
        <v>488</v>
      </c>
      <c r="C61" t="s">
        <v>12</v>
      </c>
      <c r="D61" t="s">
        <v>489</v>
      </c>
      <c r="E61" t="s">
        <v>490</v>
      </c>
      <c r="F61" t="s">
        <v>260</v>
      </c>
      <c r="G61" s="1" t="s">
        <v>491</v>
      </c>
      <c r="H61" s="1" t="s">
        <v>492</v>
      </c>
      <c r="I61" s="1" t="s">
        <v>493</v>
      </c>
      <c r="J61" s="1" t="s">
        <v>494</v>
      </c>
      <c r="K61" t="str">
        <f t="shared" si="10"/>
        <v>Acceptable</v>
      </c>
      <c r="L61" t="str">
        <f t="shared" si="11"/>
        <v>Acceptable</v>
      </c>
      <c r="M61" t="str">
        <f t="shared" si="12"/>
        <v>Acceptable</v>
      </c>
      <c r="N61" t="str">
        <f t="shared" si="3"/>
        <v>Over-seg</v>
      </c>
      <c r="O61" t="str">
        <f t="shared" si="4"/>
        <v>MEDIUM</v>
      </c>
      <c r="P61" s="1" t="s">
        <v>984</v>
      </c>
      <c r="Q61" s="1" t="s">
        <v>985</v>
      </c>
      <c r="R61" s="1" t="s">
        <v>986</v>
      </c>
      <c r="S61" s="1" t="s">
        <v>987</v>
      </c>
      <c r="T61" t="str">
        <f t="shared" si="5"/>
        <v>Poor</v>
      </c>
      <c r="U61" t="str">
        <f t="shared" si="6"/>
        <v>Poor</v>
      </c>
      <c r="V61" t="str">
        <f t="shared" si="7"/>
        <v>Poor</v>
      </c>
      <c r="W61" t="str">
        <f t="shared" si="8"/>
        <v>Under-segmentation</v>
      </c>
      <c r="X61" t="str">
        <f t="shared" si="9"/>
        <v>High</v>
      </c>
    </row>
    <row r="62" spans="1:24" x14ac:dyDescent="0.3">
      <c r="A62" s="1" t="s">
        <v>495</v>
      </c>
      <c r="B62" t="s">
        <v>496</v>
      </c>
      <c r="C62" t="s">
        <v>12</v>
      </c>
      <c r="D62" t="s">
        <v>497</v>
      </c>
      <c r="E62" t="s">
        <v>498</v>
      </c>
      <c r="F62" t="s">
        <v>260</v>
      </c>
      <c r="G62" s="1" t="s">
        <v>499</v>
      </c>
      <c r="H62" s="1" t="s">
        <v>500</v>
      </c>
      <c r="I62" s="1" t="s">
        <v>501</v>
      </c>
      <c r="J62" s="1" t="s">
        <v>502</v>
      </c>
      <c r="K62" t="str">
        <f t="shared" si="10"/>
        <v>Acceptable</v>
      </c>
      <c r="L62" t="str">
        <f t="shared" si="11"/>
        <v>Acceptable</v>
      </c>
      <c r="M62" t="str">
        <f t="shared" si="12"/>
        <v>Acceptable</v>
      </c>
      <c r="N62" t="str">
        <f t="shared" si="3"/>
        <v>Over-seg</v>
      </c>
      <c r="O62" t="str">
        <f t="shared" si="4"/>
        <v>MEDIUM</v>
      </c>
      <c r="P62" s="1" t="s">
        <v>988</v>
      </c>
      <c r="Q62" s="1" t="s">
        <v>989</v>
      </c>
      <c r="R62" s="1" t="s">
        <v>990</v>
      </c>
      <c r="S62" s="1" t="s">
        <v>991</v>
      </c>
      <c r="T62" t="str">
        <f t="shared" si="5"/>
        <v>Poor</v>
      </c>
      <c r="U62" t="str">
        <f t="shared" si="6"/>
        <v>Poor</v>
      </c>
      <c r="V62" t="str">
        <f t="shared" si="7"/>
        <v>Poor</v>
      </c>
      <c r="W62" t="str">
        <f t="shared" si="8"/>
        <v>Under-segmentation</v>
      </c>
      <c r="X62" t="str">
        <f t="shared" si="9"/>
        <v>High</v>
      </c>
    </row>
    <row r="63" spans="1:24" x14ac:dyDescent="0.3">
      <c r="A63" s="1" t="s">
        <v>503</v>
      </c>
      <c r="B63" t="s">
        <v>504</v>
      </c>
      <c r="C63" t="s">
        <v>12</v>
      </c>
      <c r="D63" t="s">
        <v>505</v>
      </c>
      <c r="E63" t="s">
        <v>506</v>
      </c>
      <c r="F63" t="s">
        <v>174</v>
      </c>
      <c r="G63">
        <v>0.81274079462548499</v>
      </c>
      <c r="H63" s="1" t="s">
        <v>507</v>
      </c>
      <c r="I63" s="1" t="s">
        <v>508</v>
      </c>
      <c r="J63" s="1" t="s">
        <v>509</v>
      </c>
      <c r="K63" t="str">
        <f t="shared" si="10"/>
        <v>Acceptable</v>
      </c>
      <c r="L63" t="str">
        <f t="shared" si="11"/>
        <v>Acceptable</v>
      </c>
      <c r="M63" t="str">
        <f t="shared" si="12"/>
        <v>Acceptable</v>
      </c>
      <c r="N63" t="str">
        <f t="shared" si="3"/>
        <v>Balanced</v>
      </c>
      <c r="O63" t="str">
        <f t="shared" si="4"/>
        <v>PASS</v>
      </c>
      <c r="P63" s="1" t="s">
        <v>992</v>
      </c>
      <c r="Q63" s="1" t="s">
        <v>993</v>
      </c>
      <c r="R63" s="1" t="s">
        <v>994</v>
      </c>
      <c r="S63" s="1" t="s">
        <v>995</v>
      </c>
      <c r="T63" t="str">
        <f t="shared" si="5"/>
        <v>Poor</v>
      </c>
      <c r="U63" t="str">
        <f t="shared" si="6"/>
        <v>Poor</v>
      </c>
      <c r="V63" t="str">
        <f t="shared" si="7"/>
        <v>Poor</v>
      </c>
      <c r="W63" t="str">
        <f t="shared" si="8"/>
        <v>Under-segmentation</v>
      </c>
      <c r="X63" t="str">
        <f t="shared" si="9"/>
        <v>High</v>
      </c>
    </row>
    <row r="64" spans="1:24" x14ac:dyDescent="0.3">
      <c r="A64" s="1" t="s">
        <v>510</v>
      </c>
      <c r="B64" t="s">
        <v>511</v>
      </c>
      <c r="C64" t="s">
        <v>12</v>
      </c>
      <c r="D64" t="s">
        <v>512</v>
      </c>
      <c r="E64" t="s">
        <v>513</v>
      </c>
      <c r="F64" t="s">
        <v>260</v>
      </c>
      <c r="G64" s="1" t="s">
        <v>514</v>
      </c>
      <c r="H64" s="1" t="s">
        <v>515</v>
      </c>
      <c r="I64" s="1" t="s">
        <v>516</v>
      </c>
      <c r="J64" s="1" t="s">
        <v>517</v>
      </c>
      <c r="K64" t="str">
        <f t="shared" si="10"/>
        <v>Acceptable</v>
      </c>
      <c r="L64" t="str">
        <f t="shared" si="11"/>
        <v>Acceptable</v>
      </c>
      <c r="M64" t="str">
        <f t="shared" si="12"/>
        <v>Acceptable</v>
      </c>
      <c r="N64" t="str">
        <f t="shared" si="3"/>
        <v>Balanced</v>
      </c>
      <c r="O64" t="str">
        <f t="shared" si="4"/>
        <v>PASS</v>
      </c>
      <c r="P64" s="1" t="s">
        <v>996</v>
      </c>
      <c r="Q64" s="1" t="s">
        <v>997</v>
      </c>
      <c r="R64" s="1" t="s">
        <v>998</v>
      </c>
      <c r="S64">
        <v>0.17409439572572499</v>
      </c>
      <c r="T64" t="str">
        <f t="shared" si="5"/>
        <v>Poor</v>
      </c>
      <c r="U64" t="str">
        <f t="shared" si="6"/>
        <v>Poor</v>
      </c>
      <c r="V64" t="str">
        <f t="shared" si="7"/>
        <v>Poor</v>
      </c>
      <c r="W64" t="str">
        <f t="shared" si="8"/>
        <v>Under-segmentation</v>
      </c>
      <c r="X64" t="str">
        <f t="shared" si="9"/>
        <v>High</v>
      </c>
    </row>
    <row r="65" spans="1:24" x14ac:dyDescent="0.3">
      <c r="A65" s="1" t="s">
        <v>518</v>
      </c>
      <c r="B65" t="s">
        <v>519</v>
      </c>
      <c r="C65" t="s">
        <v>12</v>
      </c>
      <c r="D65" t="s">
        <v>520</v>
      </c>
      <c r="E65" t="s">
        <v>521</v>
      </c>
      <c r="F65" t="s">
        <v>260</v>
      </c>
      <c r="G65" s="1" t="s">
        <v>522</v>
      </c>
      <c r="H65" s="1" t="s">
        <v>523</v>
      </c>
      <c r="I65">
        <v>0.73617901208678704</v>
      </c>
      <c r="J65" s="1" t="s">
        <v>524</v>
      </c>
      <c r="K65" t="str">
        <f t="shared" si="10"/>
        <v>Acceptable</v>
      </c>
      <c r="L65" t="str">
        <f t="shared" si="11"/>
        <v>Acceptable</v>
      </c>
      <c r="M65" t="str">
        <f t="shared" si="12"/>
        <v>Acceptable</v>
      </c>
      <c r="N65" t="str">
        <f t="shared" si="3"/>
        <v>Balanced</v>
      </c>
      <c r="O65" t="str">
        <f t="shared" si="4"/>
        <v>PASS</v>
      </c>
      <c r="P65" s="1" t="s">
        <v>999</v>
      </c>
      <c r="Q65" s="1" t="s">
        <v>1000</v>
      </c>
      <c r="R65">
        <v>0.69344641311010202</v>
      </c>
      <c r="S65" s="1" t="s">
        <v>1001</v>
      </c>
      <c r="T65" t="str">
        <f t="shared" si="5"/>
        <v>Poor</v>
      </c>
      <c r="U65" t="str">
        <f t="shared" si="6"/>
        <v>Poor</v>
      </c>
      <c r="V65" t="str">
        <f t="shared" si="7"/>
        <v>Poor</v>
      </c>
      <c r="W65" t="str">
        <f t="shared" si="8"/>
        <v>Under-segmentation</v>
      </c>
      <c r="X65" t="str">
        <f t="shared" si="9"/>
        <v>High</v>
      </c>
    </row>
    <row r="66" spans="1:24" x14ac:dyDescent="0.3">
      <c r="A66" s="1" t="s">
        <v>525</v>
      </c>
      <c r="B66" t="s">
        <v>526</v>
      </c>
      <c r="C66" t="s">
        <v>12</v>
      </c>
      <c r="D66" t="s">
        <v>527</v>
      </c>
      <c r="E66" t="s">
        <v>528</v>
      </c>
      <c r="F66" t="s">
        <v>183</v>
      </c>
      <c r="G66" s="1" t="s">
        <v>529</v>
      </c>
      <c r="H66" s="1" t="s">
        <v>530</v>
      </c>
      <c r="I66" s="1" t="s">
        <v>531</v>
      </c>
      <c r="J66">
        <v>0.916828666193235</v>
      </c>
      <c r="K66" t="str">
        <f t="shared" ref="K66:K95" si="13">IF(VALUE(G66)&gt;=0.85,"Good",IF(AND(VALUE(G66)&gt;=0.7,VALUE(G66)&lt;0.85),"Acceptable","Poor"))</f>
        <v>Acceptable</v>
      </c>
      <c r="L66" t="str">
        <f t="shared" ref="L66:L95" si="14">IF(VALUE(H66)&gt;=0.75,"Good",IF(AND(VALUE(H66)&gt;=0.55,VALUE(H66)&lt;0.75),"Acceptable","Poor"))</f>
        <v>Acceptable</v>
      </c>
      <c r="M66" t="str">
        <f t="shared" ref="M66:M95" si="15">IF(OR(K66="Poor",L66="Poor"),"Poor",IF(AND(K66="Good",L66="Good"),"Good","Acceptable"))</f>
        <v>Acceptable</v>
      </c>
      <c r="N66" t="str">
        <f t="shared" si="3"/>
        <v>Over-seg</v>
      </c>
      <c r="O66" t="str">
        <f t="shared" si="4"/>
        <v>MEDIUM</v>
      </c>
      <c r="P66" s="1" t="s">
        <v>1002</v>
      </c>
      <c r="Q66" s="1" t="s">
        <v>1003</v>
      </c>
      <c r="R66" s="1" t="s">
        <v>1004</v>
      </c>
      <c r="S66" s="1" t="s">
        <v>1005</v>
      </c>
      <c r="T66" t="str">
        <f t="shared" si="5"/>
        <v>Poor</v>
      </c>
      <c r="U66" t="str">
        <f t="shared" si="6"/>
        <v>Poor</v>
      </c>
      <c r="V66" t="str">
        <f t="shared" si="7"/>
        <v>Poor</v>
      </c>
      <c r="W66" t="str">
        <f t="shared" si="8"/>
        <v>Under-segmentation</v>
      </c>
      <c r="X66" t="str">
        <f t="shared" si="9"/>
        <v>High</v>
      </c>
    </row>
    <row r="67" spans="1:24" x14ac:dyDescent="0.3">
      <c r="A67" s="1" t="s">
        <v>532</v>
      </c>
      <c r="B67" t="s">
        <v>533</v>
      </c>
      <c r="C67" t="s">
        <v>12</v>
      </c>
      <c r="D67" t="s">
        <v>534</v>
      </c>
      <c r="E67" t="s">
        <v>535</v>
      </c>
      <c r="F67" t="s">
        <v>536</v>
      </c>
      <c r="G67" s="1" t="s">
        <v>537</v>
      </c>
      <c r="H67" s="1" t="s">
        <v>538</v>
      </c>
      <c r="I67" s="1" t="s">
        <v>539</v>
      </c>
      <c r="J67" s="1" t="s">
        <v>540</v>
      </c>
      <c r="K67" t="str">
        <f t="shared" si="13"/>
        <v>Acceptable</v>
      </c>
      <c r="L67" t="str">
        <f t="shared" si="14"/>
        <v>Acceptable</v>
      </c>
      <c r="M67" t="str">
        <f t="shared" si="15"/>
        <v>Acceptable</v>
      </c>
      <c r="N67" t="str">
        <f t="shared" ref="N67:N95" si="16">IF(ABS(VALUE(I67)-VALUE(J67))&lt;0.15,"Balanced",IF(VALUE(I67)&gt;VALUE(J67),"Under-seg","Over-seg"))</f>
        <v>Balanced</v>
      </c>
      <c r="O67" t="str">
        <f t="shared" ref="O67:O95" si="17">IF(M67="Poor","HIGH",IF(AND(M67="Acceptable",OR(N67="Under-seg",N67="Over-seg")),"MEDIUM",IF(M67="Good","PASS","PASS")))</f>
        <v>PASS</v>
      </c>
      <c r="P67">
        <v>0.49032971683899501</v>
      </c>
      <c r="Q67" s="1" t="s">
        <v>1006</v>
      </c>
      <c r="R67" s="1" t="s">
        <v>1007</v>
      </c>
      <c r="S67" s="1" t="s">
        <v>1008</v>
      </c>
      <c r="T67" t="str">
        <f t="shared" ref="T67:T95" si="18">IF(VALUE(P67)&gt;=0.8,"Good",IF(VALUE(P67)&gt;=0.65,"Acceptable","Poor"))</f>
        <v>Poor</v>
      </c>
      <c r="U67" t="str">
        <f t="shared" ref="U67:U95" si="19">IF(VALUE(Q67)&gt;=0.7,"Good",IF(VALUE(Q67)&gt;=0.5,"Acceptable","Poor"))</f>
        <v>Poor</v>
      </c>
      <c r="V67" t="str">
        <f t="shared" ref="V67:V95" si="20">IF(AND(T67="Good",U67="Good"),"Good",IF(OR(T67="Poor",U67="Poor"),"Poor","Acceptable"))</f>
        <v>Poor</v>
      </c>
      <c r="W67" t="str">
        <f t="shared" ref="W67:W95" si="21">IF(ABS(VALUE(R67)-VALUE(S67))&lt;0.05,"Balanced",IF(VALUE(R67)&gt;VALUE(S67),"Under-segmentation","Over-segmentation"))</f>
        <v>Under-segmentation</v>
      </c>
      <c r="X67" t="str">
        <f t="shared" ref="X67:X95" si="22">IF(V67="Poor","High",IF(AND(V67="Acceptable",W67&lt;&gt;"Balanced"),"Medium","Pass"))</f>
        <v>High</v>
      </c>
    </row>
    <row r="68" spans="1:24" x14ac:dyDescent="0.3">
      <c r="A68" s="1" t="s">
        <v>541</v>
      </c>
      <c r="B68" t="s">
        <v>542</v>
      </c>
      <c r="C68" t="s">
        <v>12</v>
      </c>
      <c r="D68" t="s">
        <v>543</v>
      </c>
      <c r="E68" t="s">
        <v>544</v>
      </c>
      <c r="F68" t="s">
        <v>260</v>
      </c>
      <c r="G68">
        <v>0.75958536340987504</v>
      </c>
      <c r="H68" s="1" t="s">
        <v>545</v>
      </c>
      <c r="I68" s="1" t="s">
        <v>546</v>
      </c>
      <c r="J68" s="1" t="s">
        <v>547</v>
      </c>
      <c r="K68" t="str">
        <f t="shared" si="13"/>
        <v>Acceptable</v>
      </c>
      <c r="L68" t="str">
        <f t="shared" si="14"/>
        <v>Acceptable</v>
      </c>
      <c r="M68" t="str">
        <f t="shared" si="15"/>
        <v>Acceptable</v>
      </c>
      <c r="N68" t="str">
        <f t="shared" si="16"/>
        <v>Balanced</v>
      </c>
      <c r="O68" t="str">
        <f t="shared" si="17"/>
        <v>PASS</v>
      </c>
      <c r="P68" s="1" t="s">
        <v>1009</v>
      </c>
      <c r="Q68" s="1" t="s">
        <v>1010</v>
      </c>
      <c r="R68" s="1" t="s">
        <v>1011</v>
      </c>
      <c r="S68" s="1" t="s">
        <v>1012</v>
      </c>
      <c r="T68" t="str">
        <f t="shared" si="18"/>
        <v>Poor</v>
      </c>
      <c r="U68" t="str">
        <f t="shared" si="19"/>
        <v>Poor</v>
      </c>
      <c r="V68" t="str">
        <f t="shared" si="20"/>
        <v>Poor</v>
      </c>
      <c r="W68" t="str">
        <f t="shared" si="21"/>
        <v>Under-segmentation</v>
      </c>
      <c r="X68" t="str">
        <f t="shared" si="22"/>
        <v>High</v>
      </c>
    </row>
    <row r="69" spans="1:24" x14ac:dyDescent="0.3">
      <c r="A69" s="1" t="s">
        <v>548</v>
      </c>
      <c r="B69" t="s">
        <v>549</v>
      </c>
      <c r="C69" t="s">
        <v>12</v>
      </c>
      <c r="D69" t="s">
        <v>550</v>
      </c>
      <c r="E69" t="s">
        <v>551</v>
      </c>
      <c r="F69" t="s">
        <v>370</v>
      </c>
      <c r="G69" s="1" t="s">
        <v>552</v>
      </c>
      <c r="H69" s="1" t="s">
        <v>553</v>
      </c>
      <c r="I69" s="1" t="s">
        <v>554</v>
      </c>
      <c r="J69" s="1" t="s">
        <v>555</v>
      </c>
      <c r="K69" t="str">
        <f t="shared" si="13"/>
        <v>Acceptable</v>
      </c>
      <c r="L69" t="str">
        <f t="shared" si="14"/>
        <v>Acceptable</v>
      </c>
      <c r="M69" t="str">
        <f t="shared" si="15"/>
        <v>Acceptable</v>
      </c>
      <c r="N69" t="str">
        <f t="shared" si="16"/>
        <v>Over-seg</v>
      </c>
      <c r="O69" t="str">
        <f t="shared" si="17"/>
        <v>MEDIUM</v>
      </c>
      <c r="P69" s="1" t="s">
        <v>1013</v>
      </c>
      <c r="Q69" s="1" t="s">
        <v>1014</v>
      </c>
      <c r="R69" s="1" t="s">
        <v>1015</v>
      </c>
      <c r="S69" s="1" t="s">
        <v>1016</v>
      </c>
      <c r="T69" t="str">
        <f t="shared" si="18"/>
        <v>Poor</v>
      </c>
      <c r="U69" t="str">
        <f t="shared" si="19"/>
        <v>Poor</v>
      </c>
      <c r="V69" t="str">
        <f t="shared" si="20"/>
        <v>Poor</v>
      </c>
      <c r="W69" t="str">
        <f t="shared" si="21"/>
        <v>Under-segmentation</v>
      </c>
      <c r="X69" t="str">
        <f t="shared" si="22"/>
        <v>High</v>
      </c>
    </row>
    <row r="70" spans="1:24" x14ac:dyDescent="0.3">
      <c r="A70" s="1" t="s">
        <v>556</v>
      </c>
      <c r="B70" t="s">
        <v>557</v>
      </c>
      <c r="C70" t="s">
        <v>12</v>
      </c>
      <c r="D70" t="s">
        <v>558</v>
      </c>
      <c r="E70" t="s">
        <v>559</v>
      </c>
      <c r="F70" t="s">
        <v>111</v>
      </c>
      <c r="G70" s="1" t="s">
        <v>560</v>
      </c>
      <c r="H70" s="1" t="s">
        <v>561</v>
      </c>
      <c r="I70">
        <v>0.66934927131109301</v>
      </c>
      <c r="J70" s="1" t="s">
        <v>562</v>
      </c>
      <c r="K70" t="str">
        <f t="shared" si="13"/>
        <v>Acceptable</v>
      </c>
      <c r="L70" t="str">
        <f t="shared" si="14"/>
        <v>Poor</v>
      </c>
      <c r="M70" t="str">
        <f t="shared" si="15"/>
        <v>Poor</v>
      </c>
      <c r="N70" t="str">
        <f t="shared" si="16"/>
        <v>Balanced</v>
      </c>
      <c r="O70" t="str">
        <f t="shared" si="17"/>
        <v>HIGH</v>
      </c>
      <c r="P70" s="1" t="s">
        <v>1017</v>
      </c>
      <c r="Q70" s="1" t="s">
        <v>1018</v>
      </c>
      <c r="R70" s="1" t="s">
        <v>1019</v>
      </c>
      <c r="S70" s="1" t="s">
        <v>1020</v>
      </c>
      <c r="T70" t="str">
        <f t="shared" si="18"/>
        <v>Poor</v>
      </c>
      <c r="U70" t="str">
        <f t="shared" si="19"/>
        <v>Poor</v>
      </c>
      <c r="V70" t="str">
        <f t="shared" si="20"/>
        <v>Poor</v>
      </c>
      <c r="W70" t="str">
        <f t="shared" si="21"/>
        <v>Under-segmentation</v>
      </c>
      <c r="X70" t="str">
        <f t="shared" si="22"/>
        <v>High</v>
      </c>
    </row>
    <row r="71" spans="1:24" x14ac:dyDescent="0.3">
      <c r="A71" s="1" t="s">
        <v>563</v>
      </c>
      <c r="B71" t="s">
        <v>564</v>
      </c>
      <c r="C71" t="s">
        <v>12</v>
      </c>
      <c r="D71" t="s">
        <v>565</v>
      </c>
      <c r="E71" t="s">
        <v>566</v>
      </c>
      <c r="F71" t="s">
        <v>260</v>
      </c>
      <c r="G71" s="1" t="s">
        <v>567</v>
      </c>
      <c r="H71" s="1" t="s">
        <v>568</v>
      </c>
      <c r="I71" s="1" t="s">
        <v>569</v>
      </c>
      <c r="J71" s="1" t="s">
        <v>570</v>
      </c>
      <c r="K71" t="str">
        <f t="shared" si="13"/>
        <v>Acceptable</v>
      </c>
      <c r="L71" t="str">
        <f t="shared" si="14"/>
        <v>Acceptable</v>
      </c>
      <c r="M71" t="str">
        <f t="shared" si="15"/>
        <v>Acceptable</v>
      </c>
      <c r="N71" t="str">
        <f t="shared" si="16"/>
        <v>Balanced</v>
      </c>
      <c r="O71" t="str">
        <f t="shared" si="17"/>
        <v>PASS</v>
      </c>
      <c r="P71">
        <v>0.49036260738558402</v>
      </c>
      <c r="Q71" s="1" t="s">
        <v>1021</v>
      </c>
      <c r="R71" s="1" t="s">
        <v>1022</v>
      </c>
      <c r="S71" s="1" t="s">
        <v>1023</v>
      </c>
      <c r="T71" t="str">
        <f t="shared" si="18"/>
        <v>Poor</v>
      </c>
      <c r="U71" t="str">
        <f t="shared" si="19"/>
        <v>Poor</v>
      </c>
      <c r="V71" t="str">
        <f t="shared" si="20"/>
        <v>Poor</v>
      </c>
      <c r="W71" t="str">
        <f t="shared" si="21"/>
        <v>Under-segmentation</v>
      </c>
      <c r="X71" t="str">
        <f t="shared" si="22"/>
        <v>High</v>
      </c>
    </row>
    <row r="72" spans="1:24" x14ac:dyDescent="0.3">
      <c r="A72" s="1" t="s">
        <v>571</v>
      </c>
      <c r="B72" t="s">
        <v>572</v>
      </c>
      <c r="C72" t="s">
        <v>12</v>
      </c>
      <c r="D72" t="s">
        <v>573</v>
      </c>
      <c r="E72" t="s">
        <v>574</v>
      </c>
      <c r="F72" t="s">
        <v>119</v>
      </c>
      <c r="G72" s="1" t="s">
        <v>575</v>
      </c>
      <c r="H72" s="1" t="s">
        <v>576</v>
      </c>
      <c r="I72" s="1" t="s">
        <v>577</v>
      </c>
      <c r="J72" s="1" t="s">
        <v>578</v>
      </c>
      <c r="K72" t="str">
        <f t="shared" si="13"/>
        <v>Acceptable</v>
      </c>
      <c r="L72" t="str">
        <f t="shared" si="14"/>
        <v>Acceptable</v>
      </c>
      <c r="M72" t="str">
        <f t="shared" si="15"/>
        <v>Acceptable</v>
      </c>
      <c r="N72" t="str">
        <f t="shared" si="16"/>
        <v>Over-seg</v>
      </c>
      <c r="O72" t="str">
        <f t="shared" si="17"/>
        <v>MEDIUM</v>
      </c>
      <c r="P72" s="1" t="s">
        <v>1024</v>
      </c>
      <c r="Q72" s="1" t="s">
        <v>1025</v>
      </c>
      <c r="R72" s="1" t="s">
        <v>1026</v>
      </c>
      <c r="S72" s="1" t="s">
        <v>1027</v>
      </c>
      <c r="T72" t="str">
        <f t="shared" si="18"/>
        <v>Poor</v>
      </c>
      <c r="U72" t="str">
        <f t="shared" si="19"/>
        <v>Poor</v>
      </c>
      <c r="V72" t="str">
        <f t="shared" si="20"/>
        <v>Poor</v>
      </c>
      <c r="W72" t="str">
        <f t="shared" si="21"/>
        <v>Under-segmentation</v>
      </c>
      <c r="X72" t="str">
        <f t="shared" si="22"/>
        <v>High</v>
      </c>
    </row>
    <row r="73" spans="1:24" x14ac:dyDescent="0.3">
      <c r="A73" s="1" t="s">
        <v>579</v>
      </c>
      <c r="B73" t="s">
        <v>580</v>
      </c>
      <c r="C73" t="s">
        <v>12</v>
      </c>
      <c r="D73" t="s">
        <v>581</v>
      </c>
      <c r="E73" t="s">
        <v>582</v>
      </c>
      <c r="F73" t="s">
        <v>583</v>
      </c>
      <c r="G73" s="1" t="s">
        <v>584</v>
      </c>
      <c r="H73" s="1" t="s">
        <v>585</v>
      </c>
      <c r="I73" s="1" t="s">
        <v>586</v>
      </c>
      <c r="J73" s="1" t="s">
        <v>587</v>
      </c>
      <c r="K73" t="str">
        <f t="shared" si="13"/>
        <v>Acceptable</v>
      </c>
      <c r="L73" t="str">
        <f t="shared" si="14"/>
        <v>Acceptable</v>
      </c>
      <c r="M73" t="str">
        <f t="shared" si="15"/>
        <v>Acceptable</v>
      </c>
      <c r="N73" t="str">
        <f t="shared" si="16"/>
        <v>Balanced</v>
      </c>
      <c r="O73" t="str">
        <f t="shared" si="17"/>
        <v>PASS</v>
      </c>
      <c r="P73" s="1" t="s">
        <v>1028</v>
      </c>
      <c r="Q73" s="1" t="s">
        <v>1029</v>
      </c>
      <c r="R73" s="1" t="s">
        <v>1030</v>
      </c>
      <c r="S73" s="1" t="s">
        <v>1031</v>
      </c>
      <c r="T73" t="str">
        <f t="shared" si="18"/>
        <v>Poor</v>
      </c>
      <c r="U73" t="str">
        <f t="shared" si="19"/>
        <v>Poor</v>
      </c>
      <c r="V73" t="str">
        <f t="shared" si="20"/>
        <v>Poor</v>
      </c>
      <c r="W73" t="str">
        <f t="shared" si="21"/>
        <v>Under-segmentation</v>
      </c>
      <c r="X73" t="str">
        <f t="shared" si="22"/>
        <v>High</v>
      </c>
    </row>
    <row r="74" spans="1:24" x14ac:dyDescent="0.3">
      <c r="A74" s="1" t="s">
        <v>588</v>
      </c>
      <c r="B74" t="s">
        <v>589</v>
      </c>
      <c r="C74" t="s">
        <v>12</v>
      </c>
      <c r="D74" t="s">
        <v>590</v>
      </c>
      <c r="E74" t="s">
        <v>591</v>
      </c>
      <c r="F74" t="s">
        <v>592</v>
      </c>
      <c r="G74" s="1" t="s">
        <v>593</v>
      </c>
      <c r="H74" s="1" t="s">
        <v>594</v>
      </c>
      <c r="I74" s="1" t="s">
        <v>595</v>
      </c>
      <c r="J74">
        <v>0.65541943686322501</v>
      </c>
      <c r="K74" t="str">
        <f t="shared" si="13"/>
        <v>Poor</v>
      </c>
      <c r="L74" t="str">
        <f t="shared" si="14"/>
        <v>Poor</v>
      </c>
      <c r="M74" t="str">
        <f t="shared" si="15"/>
        <v>Poor</v>
      </c>
      <c r="N74" t="str">
        <f t="shared" si="16"/>
        <v>Balanced</v>
      </c>
      <c r="O74" t="str">
        <f t="shared" si="17"/>
        <v>HIGH</v>
      </c>
      <c r="P74" s="1" t="s">
        <v>1032</v>
      </c>
      <c r="Q74" s="1" t="s">
        <v>1033</v>
      </c>
      <c r="R74" s="1" t="s">
        <v>1034</v>
      </c>
      <c r="S74" s="1" t="s">
        <v>1035</v>
      </c>
      <c r="T74" t="str">
        <f t="shared" si="18"/>
        <v>Poor</v>
      </c>
      <c r="U74" t="str">
        <f t="shared" si="19"/>
        <v>Poor</v>
      </c>
      <c r="V74" t="str">
        <f t="shared" si="20"/>
        <v>Poor</v>
      </c>
      <c r="W74" t="str">
        <f t="shared" si="21"/>
        <v>Under-segmentation</v>
      </c>
      <c r="X74" t="str">
        <f t="shared" si="22"/>
        <v>High</v>
      </c>
    </row>
    <row r="75" spans="1:24" x14ac:dyDescent="0.3">
      <c r="A75" s="1" t="s">
        <v>596</v>
      </c>
      <c r="B75" t="s">
        <v>597</v>
      </c>
      <c r="C75" t="s">
        <v>12</v>
      </c>
      <c r="D75" t="s">
        <v>598</v>
      </c>
      <c r="E75" t="s">
        <v>599</v>
      </c>
      <c r="F75" t="s">
        <v>119</v>
      </c>
      <c r="G75" s="1" t="s">
        <v>600</v>
      </c>
      <c r="H75" s="1" t="s">
        <v>601</v>
      </c>
      <c r="I75" s="1" t="s">
        <v>602</v>
      </c>
      <c r="J75">
        <v>0.89977251828425797</v>
      </c>
      <c r="K75" t="str">
        <f t="shared" si="13"/>
        <v>Acceptable</v>
      </c>
      <c r="L75" t="str">
        <f t="shared" si="14"/>
        <v>Acceptable</v>
      </c>
      <c r="M75" t="str">
        <f t="shared" si="15"/>
        <v>Acceptable</v>
      </c>
      <c r="N75" t="str">
        <f t="shared" si="16"/>
        <v>Balanced</v>
      </c>
      <c r="O75" t="str">
        <f t="shared" si="17"/>
        <v>PASS</v>
      </c>
      <c r="P75">
        <v>0.21792993303503699</v>
      </c>
      <c r="Q75" s="1" t="s">
        <v>1036</v>
      </c>
      <c r="R75" s="1" t="s">
        <v>1037</v>
      </c>
      <c r="S75" s="1" t="s">
        <v>1038</v>
      </c>
      <c r="T75" t="str">
        <f t="shared" si="18"/>
        <v>Poor</v>
      </c>
      <c r="U75" t="str">
        <f t="shared" si="19"/>
        <v>Poor</v>
      </c>
      <c r="V75" t="str">
        <f t="shared" si="20"/>
        <v>Poor</v>
      </c>
      <c r="W75" t="str">
        <f t="shared" si="21"/>
        <v>Under-segmentation</v>
      </c>
      <c r="X75" t="str">
        <f t="shared" si="22"/>
        <v>High</v>
      </c>
    </row>
    <row r="76" spans="1:24" x14ac:dyDescent="0.3">
      <c r="A76" s="1" t="s">
        <v>603</v>
      </c>
      <c r="B76" t="s">
        <v>604</v>
      </c>
      <c r="C76" t="s">
        <v>12</v>
      </c>
      <c r="D76" t="s">
        <v>605</v>
      </c>
      <c r="E76" t="s">
        <v>606</v>
      </c>
      <c r="F76" t="s">
        <v>174</v>
      </c>
      <c r="G76" s="1" t="s">
        <v>607</v>
      </c>
      <c r="H76" s="1" t="s">
        <v>608</v>
      </c>
      <c r="I76" s="1" t="s">
        <v>609</v>
      </c>
      <c r="J76">
        <v>0.93379539630917396</v>
      </c>
      <c r="K76" t="str">
        <f t="shared" si="13"/>
        <v>Good</v>
      </c>
      <c r="L76" t="str">
        <f t="shared" si="14"/>
        <v>Good</v>
      </c>
      <c r="M76" t="str">
        <f t="shared" si="15"/>
        <v>Good</v>
      </c>
      <c r="N76" t="str">
        <f t="shared" si="16"/>
        <v>Balanced</v>
      </c>
      <c r="O76" t="str">
        <f t="shared" si="17"/>
        <v>PASS</v>
      </c>
      <c r="P76" s="1" t="s">
        <v>1039</v>
      </c>
      <c r="Q76" s="1" t="s">
        <v>1040</v>
      </c>
      <c r="R76" s="1" t="s">
        <v>1041</v>
      </c>
      <c r="S76" s="1" t="s">
        <v>1042</v>
      </c>
      <c r="T76" t="str">
        <f t="shared" si="18"/>
        <v>Poor</v>
      </c>
      <c r="U76" t="str">
        <f t="shared" si="19"/>
        <v>Poor</v>
      </c>
      <c r="V76" t="str">
        <f t="shared" si="20"/>
        <v>Poor</v>
      </c>
      <c r="W76" t="str">
        <f t="shared" si="21"/>
        <v>Under-segmentation</v>
      </c>
      <c r="X76" t="str">
        <f t="shared" si="22"/>
        <v>High</v>
      </c>
    </row>
    <row r="77" spans="1:24" x14ac:dyDescent="0.3">
      <c r="A77" s="1" t="s">
        <v>610</v>
      </c>
      <c r="B77" t="s">
        <v>611</v>
      </c>
      <c r="C77" t="s">
        <v>12</v>
      </c>
      <c r="D77" t="s">
        <v>612</v>
      </c>
      <c r="E77" t="s">
        <v>613</v>
      </c>
      <c r="F77" t="s">
        <v>614</v>
      </c>
      <c r="G77" s="1" t="s">
        <v>615</v>
      </c>
      <c r="H77">
        <v>0.61884047540880205</v>
      </c>
      <c r="I77" s="1" t="s">
        <v>616</v>
      </c>
      <c r="J77" s="1" t="s">
        <v>617</v>
      </c>
      <c r="K77" t="str">
        <f t="shared" si="13"/>
        <v>Acceptable</v>
      </c>
      <c r="L77" t="str">
        <f t="shared" si="14"/>
        <v>Acceptable</v>
      </c>
      <c r="M77" t="str">
        <f t="shared" si="15"/>
        <v>Acceptable</v>
      </c>
      <c r="N77" t="str">
        <f t="shared" si="16"/>
        <v>Balanced</v>
      </c>
      <c r="O77" t="str">
        <f t="shared" si="17"/>
        <v>PASS</v>
      </c>
      <c r="P77" s="1" t="s">
        <v>1043</v>
      </c>
      <c r="Q77" s="1" t="s">
        <v>1044</v>
      </c>
      <c r="R77" s="1" t="s">
        <v>1045</v>
      </c>
      <c r="S77">
        <v>0.18131424472841201</v>
      </c>
      <c r="T77" t="str">
        <f t="shared" si="18"/>
        <v>Poor</v>
      </c>
      <c r="U77" t="str">
        <f t="shared" si="19"/>
        <v>Poor</v>
      </c>
      <c r="V77" t="str">
        <f t="shared" si="20"/>
        <v>Poor</v>
      </c>
      <c r="W77" t="str">
        <f t="shared" si="21"/>
        <v>Under-segmentation</v>
      </c>
      <c r="X77" t="str">
        <f t="shared" si="22"/>
        <v>High</v>
      </c>
    </row>
    <row r="78" spans="1:24" x14ac:dyDescent="0.3">
      <c r="A78" s="1" t="s">
        <v>618</v>
      </c>
      <c r="B78" t="s">
        <v>619</v>
      </c>
      <c r="C78" t="s">
        <v>12</v>
      </c>
      <c r="D78" t="s">
        <v>620</v>
      </c>
      <c r="E78" t="s">
        <v>621</v>
      </c>
      <c r="F78" t="s">
        <v>622</v>
      </c>
      <c r="G78" s="1" t="s">
        <v>623</v>
      </c>
      <c r="H78" s="1" t="s">
        <v>624</v>
      </c>
      <c r="I78" s="1" t="s">
        <v>625</v>
      </c>
      <c r="J78" s="1" t="s">
        <v>626</v>
      </c>
      <c r="K78" t="str">
        <f t="shared" si="13"/>
        <v>Acceptable</v>
      </c>
      <c r="L78" t="str">
        <f t="shared" si="14"/>
        <v>Poor</v>
      </c>
      <c r="M78" t="str">
        <f t="shared" si="15"/>
        <v>Poor</v>
      </c>
      <c r="N78" t="str">
        <f t="shared" si="16"/>
        <v>Over-seg</v>
      </c>
      <c r="O78" t="str">
        <f t="shared" si="17"/>
        <v>HIGH</v>
      </c>
      <c r="P78" s="1" t="s">
        <v>1046</v>
      </c>
      <c r="Q78" s="1" t="s">
        <v>1047</v>
      </c>
      <c r="R78" s="1" t="s">
        <v>1048</v>
      </c>
      <c r="S78" s="1" t="s">
        <v>1049</v>
      </c>
      <c r="T78" t="str">
        <f t="shared" si="18"/>
        <v>Poor</v>
      </c>
      <c r="U78" t="str">
        <f t="shared" si="19"/>
        <v>Poor</v>
      </c>
      <c r="V78" t="str">
        <f t="shared" si="20"/>
        <v>Poor</v>
      </c>
      <c r="W78" t="str">
        <f t="shared" si="21"/>
        <v>Under-segmentation</v>
      </c>
      <c r="X78" t="str">
        <f t="shared" si="22"/>
        <v>High</v>
      </c>
    </row>
    <row r="79" spans="1:24" x14ac:dyDescent="0.3">
      <c r="A79" s="1" t="s">
        <v>627</v>
      </c>
      <c r="B79" t="s">
        <v>628</v>
      </c>
      <c r="C79" t="s">
        <v>12</v>
      </c>
      <c r="D79" t="s">
        <v>629</v>
      </c>
      <c r="E79" t="s">
        <v>630</v>
      </c>
      <c r="F79" t="s">
        <v>174</v>
      </c>
      <c r="G79" s="1" t="s">
        <v>631</v>
      </c>
      <c r="H79" s="1" t="s">
        <v>632</v>
      </c>
      <c r="I79" s="1" t="s">
        <v>633</v>
      </c>
      <c r="J79" s="1" t="s">
        <v>634</v>
      </c>
      <c r="K79" t="str">
        <f t="shared" si="13"/>
        <v>Acceptable</v>
      </c>
      <c r="L79" t="str">
        <f t="shared" si="14"/>
        <v>Acceptable</v>
      </c>
      <c r="M79" t="str">
        <f t="shared" si="15"/>
        <v>Acceptable</v>
      </c>
      <c r="N79" t="str">
        <f t="shared" si="16"/>
        <v>Over-seg</v>
      </c>
      <c r="O79" t="str">
        <f t="shared" si="17"/>
        <v>MEDIUM</v>
      </c>
      <c r="P79" s="1" t="s">
        <v>1050</v>
      </c>
      <c r="Q79" s="1" t="s">
        <v>1051</v>
      </c>
      <c r="R79" s="1" t="s">
        <v>1052</v>
      </c>
      <c r="S79" s="1" t="s">
        <v>1053</v>
      </c>
      <c r="T79" t="str">
        <f t="shared" si="18"/>
        <v>Poor</v>
      </c>
      <c r="U79" t="str">
        <f t="shared" si="19"/>
        <v>Poor</v>
      </c>
      <c r="V79" t="str">
        <f t="shared" si="20"/>
        <v>Poor</v>
      </c>
      <c r="W79" t="str">
        <f t="shared" si="21"/>
        <v>Under-segmentation</v>
      </c>
      <c r="X79" t="str">
        <f t="shared" si="22"/>
        <v>High</v>
      </c>
    </row>
    <row r="80" spans="1:24" x14ac:dyDescent="0.3">
      <c r="A80" s="1" t="s">
        <v>635</v>
      </c>
      <c r="B80" t="s">
        <v>636</v>
      </c>
      <c r="C80" t="s">
        <v>12</v>
      </c>
      <c r="D80" t="s">
        <v>637</v>
      </c>
      <c r="E80" t="s">
        <v>638</v>
      </c>
      <c r="F80" t="s">
        <v>174</v>
      </c>
      <c r="G80" s="1" t="s">
        <v>639</v>
      </c>
      <c r="H80" s="1" t="s">
        <v>640</v>
      </c>
      <c r="I80" s="1" t="s">
        <v>641</v>
      </c>
      <c r="J80" s="1" t="s">
        <v>642</v>
      </c>
      <c r="K80" t="str">
        <f t="shared" si="13"/>
        <v>Acceptable</v>
      </c>
      <c r="L80" t="str">
        <f t="shared" si="14"/>
        <v>Acceptable</v>
      </c>
      <c r="M80" t="str">
        <f t="shared" si="15"/>
        <v>Acceptable</v>
      </c>
      <c r="N80" t="str">
        <f t="shared" si="16"/>
        <v>Balanced</v>
      </c>
      <c r="O80" t="str">
        <f t="shared" si="17"/>
        <v>PASS</v>
      </c>
      <c r="P80" s="1" t="s">
        <v>1054</v>
      </c>
      <c r="Q80" s="1" t="s">
        <v>1055</v>
      </c>
      <c r="R80" s="1" t="s">
        <v>1056</v>
      </c>
      <c r="S80" s="1" t="s">
        <v>1057</v>
      </c>
      <c r="T80" t="str">
        <f t="shared" si="18"/>
        <v>Poor</v>
      </c>
      <c r="U80" t="str">
        <f t="shared" si="19"/>
        <v>Poor</v>
      </c>
      <c r="V80" t="str">
        <f t="shared" si="20"/>
        <v>Poor</v>
      </c>
      <c r="W80" t="str">
        <f t="shared" si="21"/>
        <v>Under-segmentation</v>
      </c>
      <c r="X80" t="str">
        <f t="shared" si="22"/>
        <v>High</v>
      </c>
    </row>
    <row r="81" spans="1:24" x14ac:dyDescent="0.3">
      <c r="A81" s="1" t="s">
        <v>643</v>
      </c>
      <c r="B81" t="s">
        <v>644</v>
      </c>
      <c r="C81" t="s">
        <v>12</v>
      </c>
      <c r="D81" t="s">
        <v>645</v>
      </c>
      <c r="E81" t="s">
        <v>646</v>
      </c>
      <c r="F81" t="s">
        <v>183</v>
      </c>
      <c r="G81">
        <v>0.63420021924715797</v>
      </c>
      <c r="H81" s="1" t="s">
        <v>647</v>
      </c>
      <c r="I81" s="1" t="s">
        <v>648</v>
      </c>
      <c r="J81" s="1" t="s">
        <v>649</v>
      </c>
      <c r="K81" t="str">
        <f t="shared" si="13"/>
        <v>Poor</v>
      </c>
      <c r="L81" t="str">
        <f t="shared" si="14"/>
        <v>Poor</v>
      </c>
      <c r="M81" t="str">
        <f t="shared" si="15"/>
        <v>Poor</v>
      </c>
      <c r="N81" t="str">
        <f t="shared" si="16"/>
        <v>Over-seg</v>
      </c>
      <c r="O81" t="str">
        <f t="shared" si="17"/>
        <v>HIGH</v>
      </c>
      <c r="P81" s="1" t="s">
        <v>1058</v>
      </c>
      <c r="Q81" s="1" t="s">
        <v>1059</v>
      </c>
      <c r="R81" s="1" t="s">
        <v>1060</v>
      </c>
      <c r="S81" s="1" t="s">
        <v>1061</v>
      </c>
      <c r="T81" t="str">
        <f t="shared" si="18"/>
        <v>Poor</v>
      </c>
      <c r="U81" t="str">
        <f t="shared" si="19"/>
        <v>Poor</v>
      </c>
      <c r="V81" t="str">
        <f t="shared" si="20"/>
        <v>Poor</v>
      </c>
      <c r="W81" t="str">
        <f t="shared" si="21"/>
        <v>Under-segmentation</v>
      </c>
      <c r="X81" t="str">
        <f t="shared" si="22"/>
        <v>High</v>
      </c>
    </row>
    <row r="82" spans="1:24" x14ac:dyDescent="0.3">
      <c r="A82" s="1" t="s">
        <v>650</v>
      </c>
      <c r="B82" t="s">
        <v>651</v>
      </c>
      <c r="C82" t="s">
        <v>12</v>
      </c>
      <c r="D82" t="s">
        <v>652</v>
      </c>
      <c r="E82" t="s">
        <v>653</v>
      </c>
      <c r="F82" t="s">
        <v>260</v>
      </c>
      <c r="G82" s="1" t="s">
        <v>654</v>
      </c>
      <c r="H82" s="1" t="s">
        <v>655</v>
      </c>
      <c r="I82" s="1" t="s">
        <v>656</v>
      </c>
      <c r="J82" s="1" t="s">
        <v>657</v>
      </c>
      <c r="K82" t="str">
        <f t="shared" si="13"/>
        <v>Acceptable</v>
      </c>
      <c r="L82" t="str">
        <f t="shared" si="14"/>
        <v>Acceptable</v>
      </c>
      <c r="M82" t="str">
        <f t="shared" si="15"/>
        <v>Acceptable</v>
      </c>
      <c r="N82" t="str">
        <f t="shared" si="16"/>
        <v>Over-seg</v>
      </c>
      <c r="O82" t="str">
        <f t="shared" si="17"/>
        <v>MEDIUM</v>
      </c>
      <c r="P82" s="1" t="s">
        <v>1062</v>
      </c>
      <c r="Q82" s="1" t="s">
        <v>1063</v>
      </c>
      <c r="R82" s="1" t="s">
        <v>1064</v>
      </c>
      <c r="S82" s="1" t="s">
        <v>1065</v>
      </c>
      <c r="T82" t="str">
        <f t="shared" si="18"/>
        <v>Poor</v>
      </c>
      <c r="U82" t="str">
        <f t="shared" si="19"/>
        <v>Poor</v>
      </c>
      <c r="V82" t="str">
        <f t="shared" si="20"/>
        <v>Poor</v>
      </c>
      <c r="W82" t="str">
        <f t="shared" si="21"/>
        <v>Under-segmentation</v>
      </c>
      <c r="X82" t="str">
        <f t="shared" si="22"/>
        <v>High</v>
      </c>
    </row>
    <row r="83" spans="1:24" x14ac:dyDescent="0.3">
      <c r="A83" s="1" t="s">
        <v>658</v>
      </c>
      <c r="B83" t="s">
        <v>659</v>
      </c>
      <c r="C83" t="s">
        <v>12</v>
      </c>
      <c r="D83" t="s">
        <v>660</v>
      </c>
      <c r="E83" t="s">
        <v>661</v>
      </c>
      <c r="F83" t="s">
        <v>662</v>
      </c>
      <c r="G83" s="1" t="s">
        <v>663</v>
      </c>
      <c r="H83">
        <v>0.68993398208352297</v>
      </c>
      <c r="I83" s="1" t="s">
        <v>664</v>
      </c>
      <c r="J83" s="1" t="s">
        <v>665</v>
      </c>
      <c r="K83" t="str">
        <f t="shared" si="13"/>
        <v>Acceptable</v>
      </c>
      <c r="L83" t="str">
        <f t="shared" si="14"/>
        <v>Acceptable</v>
      </c>
      <c r="M83" t="str">
        <f t="shared" si="15"/>
        <v>Acceptable</v>
      </c>
      <c r="N83" t="str">
        <f t="shared" si="16"/>
        <v>Over-seg</v>
      </c>
      <c r="O83" t="str">
        <f t="shared" si="17"/>
        <v>MEDIUM</v>
      </c>
      <c r="P83">
        <v>0.29344372936605301</v>
      </c>
      <c r="Q83" s="1" t="s">
        <v>1066</v>
      </c>
      <c r="R83">
        <v>0.97747808392031399</v>
      </c>
      <c r="S83" s="1" t="s">
        <v>1067</v>
      </c>
      <c r="T83" t="str">
        <f t="shared" si="18"/>
        <v>Poor</v>
      </c>
      <c r="U83" t="str">
        <f t="shared" si="19"/>
        <v>Poor</v>
      </c>
      <c r="V83" t="str">
        <f t="shared" si="20"/>
        <v>Poor</v>
      </c>
      <c r="W83" t="str">
        <f t="shared" si="21"/>
        <v>Under-segmentation</v>
      </c>
      <c r="X83" t="str">
        <f t="shared" si="22"/>
        <v>High</v>
      </c>
    </row>
    <row r="84" spans="1:24" x14ac:dyDescent="0.3">
      <c r="A84" s="1" t="s">
        <v>666</v>
      </c>
      <c r="B84" t="s">
        <v>667</v>
      </c>
      <c r="C84" t="s">
        <v>12</v>
      </c>
      <c r="D84" t="s">
        <v>668</v>
      </c>
      <c r="E84" t="s">
        <v>669</v>
      </c>
      <c r="F84" t="s">
        <v>174</v>
      </c>
      <c r="G84" s="1" t="s">
        <v>670</v>
      </c>
      <c r="H84" s="1" t="s">
        <v>671</v>
      </c>
      <c r="I84" s="1" t="s">
        <v>672</v>
      </c>
      <c r="J84" s="1" t="s">
        <v>673</v>
      </c>
      <c r="K84" t="str">
        <f t="shared" si="13"/>
        <v>Good</v>
      </c>
      <c r="L84" t="str">
        <f t="shared" si="14"/>
        <v>Good</v>
      </c>
      <c r="M84" t="str">
        <f t="shared" si="15"/>
        <v>Good</v>
      </c>
      <c r="N84" t="str">
        <f t="shared" si="16"/>
        <v>Balanced</v>
      </c>
      <c r="O84" t="str">
        <f t="shared" si="17"/>
        <v>PASS</v>
      </c>
      <c r="P84" s="1" t="s">
        <v>1068</v>
      </c>
      <c r="Q84" s="1" t="s">
        <v>1069</v>
      </c>
      <c r="R84" s="1" t="s">
        <v>1070</v>
      </c>
      <c r="S84" s="1" t="s">
        <v>1071</v>
      </c>
      <c r="T84" t="str">
        <f t="shared" si="18"/>
        <v>Poor</v>
      </c>
      <c r="U84" t="str">
        <f t="shared" si="19"/>
        <v>Poor</v>
      </c>
      <c r="V84" t="str">
        <f t="shared" si="20"/>
        <v>Poor</v>
      </c>
      <c r="W84" t="str">
        <f t="shared" si="21"/>
        <v>Balanced</v>
      </c>
      <c r="X84" t="str">
        <f t="shared" si="22"/>
        <v>High</v>
      </c>
    </row>
    <row r="85" spans="1:24" x14ac:dyDescent="0.3">
      <c r="A85" s="1" t="s">
        <v>674</v>
      </c>
      <c r="B85" t="s">
        <v>675</v>
      </c>
      <c r="C85" t="s">
        <v>12</v>
      </c>
      <c r="D85" t="s">
        <v>676</v>
      </c>
      <c r="E85" t="s">
        <v>677</v>
      </c>
      <c r="F85" t="s">
        <v>678</v>
      </c>
      <c r="G85" s="1" t="s">
        <v>679</v>
      </c>
      <c r="H85" s="1" t="s">
        <v>680</v>
      </c>
      <c r="I85" s="1" t="s">
        <v>681</v>
      </c>
      <c r="J85" s="1" t="s">
        <v>682</v>
      </c>
      <c r="K85" t="str">
        <f t="shared" si="13"/>
        <v>Acceptable</v>
      </c>
      <c r="L85" t="str">
        <f t="shared" si="14"/>
        <v>Acceptable</v>
      </c>
      <c r="M85" t="str">
        <f t="shared" si="15"/>
        <v>Acceptable</v>
      </c>
      <c r="N85" t="str">
        <f t="shared" si="16"/>
        <v>Over-seg</v>
      </c>
      <c r="O85" t="str">
        <f t="shared" si="17"/>
        <v>MEDIUM</v>
      </c>
      <c r="P85" s="1" t="s">
        <v>1072</v>
      </c>
      <c r="Q85" s="1" t="s">
        <v>1073</v>
      </c>
      <c r="R85" s="1" t="s">
        <v>1074</v>
      </c>
      <c r="S85" s="1" t="s">
        <v>1075</v>
      </c>
      <c r="T85" t="str">
        <f t="shared" si="18"/>
        <v>Poor</v>
      </c>
      <c r="U85" t="str">
        <f t="shared" si="19"/>
        <v>Poor</v>
      </c>
      <c r="V85" t="str">
        <f t="shared" si="20"/>
        <v>Poor</v>
      </c>
      <c r="W85" t="str">
        <f t="shared" si="21"/>
        <v>Under-segmentation</v>
      </c>
      <c r="X85" t="str">
        <f t="shared" si="22"/>
        <v>High</v>
      </c>
    </row>
    <row r="86" spans="1:24" x14ac:dyDescent="0.3">
      <c r="A86" s="1" t="s">
        <v>683</v>
      </c>
      <c r="B86" t="s">
        <v>684</v>
      </c>
      <c r="C86" t="s">
        <v>12</v>
      </c>
      <c r="D86" t="s">
        <v>685</v>
      </c>
      <c r="E86" t="s">
        <v>686</v>
      </c>
      <c r="F86" t="s">
        <v>174</v>
      </c>
      <c r="G86" s="1" t="s">
        <v>687</v>
      </c>
      <c r="H86" s="1" t="s">
        <v>688</v>
      </c>
      <c r="I86" s="1" t="s">
        <v>689</v>
      </c>
      <c r="J86" s="1" t="s">
        <v>690</v>
      </c>
      <c r="K86" t="str">
        <f t="shared" si="13"/>
        <v>Acceptable</v>
      </c>
      <c r="L86" t="str">
        <f t="shared" si="14"/>
        <v>Acceptable</v>
      </c>
      <c r="M86" t="str">
        <f t="shared" si="15"/>
        <v>Acceptable</v>
      </c>
      <c r="N86" t="str">
        <f t="shared" si="16"/>
        <v>Balanced</v>
      </c>
      <c r="O86" t="str">
        <f t="shared" si="17"/>
        <v>PASS</v>
      </c>
      <c r="P86" s="1" t="s">
        <v>1076</v>
      </c>
      <c r="Q86" s="1" t="s">
        <v>1077</v>
      </c>
      <c r="R86" s="1" t="s">
        <v>1078</v>
      </c>
      <c r="S86">
        <v>0.165699455591994</v>
      </c>
      <c r="T86" t="str">
        <f t="shared" si="18"/>
        <v>Poor</v>
      </c>
      <c r="U86" t="str">
        <f t="shared" si="19"/>
        <v>Poor</v>
      </c>
      <c r="V86" t="str">
        <f t="shared" si="20"/>
        <v>Poor</v>
      </c>
      <c r="W86" t="str">
        <f t="shared" si="21"/>
        <v>Under-segmentation</v>
      </c>
      <c r="X86" t="str">
        <f t="shared" si="22"/>
        <v>High</v>
      </c>
    </row>
    <row r="87" spans="1:24" x14ac:dyDescent="0.3">
      <c r="A87" s="1" t="s">
        <v>691</v>
      </c>
      <c r="B87" t="s">
        <v>692</v>
      </c>
      <c r="C87" t="s">
        <v>12</v>
      </c>
      <c r="D87" t="s">
        <v>693</v>
      </c>
      <c r="E87" t="s">
        <v>694</v>
      </c>
      <c r="F87" t="s">
        <v>260</v>
      </c>
      <c r="G87" s="1" t="s">
        <v>695</v>
      </c>
      <c r="H87" s="1" t="s">
        <v>696</v>
      </c>
      <c r="I87" s="1" t="s">
        <v>697</v>
      </c>
      <c r="J87" s="1" t="s">
        <v>698</v>
      </c>
      <c r="K87" t="str">
        <f t="shared" si="13"/>
        <v>Poor</v>
      </c>
      <c r="L87" t="str">
        <f t="shared" si="14"/>
        <v>Poor</v>
      </c>
      <c r="M87" t="str">
        <f t="shared" si="15"/>
        <v>Poor</v>
      </c>
      <c r="N87" t="str">
        <f t="shared" si="16"/>
        <v>Balanced</v>
      </c>
      <c r="O87" t="str">
        <f t="shared" si="17"/>
        <v>HIGH</v>
      </c>
      <c r="P87" s="1" t="s">
        <v>1079</v>
      </c>
      <c r="Q87" s="1" t="s">
        <v>1080</v>
      </c>
      <c r="R87" s="1" t="s">
        <v>1081</v>
      </c>
      <c r="S87">
        <v>0.25218729768980702</v>
      </c>
      <c r="T87" t="str">
        <f t="shared" si="18"/>
        <v>Poor</v>
      </c>
      <c r="U87" t="str">
        <f t="shared" si="19"/>
        <v>Poor</v>
      </c>
      <c r="V87" t="str">
        <f t="shared" si="20"/>
        <v>Poor</v>
      </c>
      <c r="W87" t="str">
        <f t="shared" si="21"/>
        <v>Under-segmentation</v>
      </c>
      <c r="X87" t="str">
        <f t="shared" si="22"/>
        <v>High</v>
      </c>
    </row>
    <row r="88" spans="1:24" x14ac:dyDescent="0.3">
      <c r="A88" s="1" t="s">
        <v>699</v>
      </c>
      <c r="B88" t="s">
        <v>700</v>
      </c>
      <c r="C88" t="s">
        <v>12</v>
      </c>
      <c r="D88" t="s">
        <v>701</v>
      </c>
      <c r="E88" t="s">
        <v>702</v>
      </c>
      <c r="F88" t="s">
        <v>183</v>
      </c>
      <c r="G88" s="1" t="s">
        <v>703</v>
      </c>
      <c r="H88" s="1" t="s">
        <v>704</v>
      </c>
      <c r="I88" s="1" t="s">
        <v>705</v>
      </c>
      <c r="J88" s="1" t="s">
        <v>706</v>
      </c>
      <c r="K88" t="str">
        <f t="shared" si="13"/>
        <v>Acceptable</v>
      </c>
      <c r="L88" t="str">
        <f t="shared" si="14"/>
        <v>Acceptable</v>
      </c>
      <c r="M88" t="str">
        <f t="shared" si="15"/>
        <v>Acceptable</v>
      </c>
      <c r="N88" t="str">
        <f t="shared" si="16"/>
        <v>Over-seg</v>
      </c>
      <c r="O88" t="str">
        <f t="shared" si="17"/>
        <v>MEDIUM</v>
      </c>
      <c r="P88" s="1" t="s">
        <v>1082</v>
      </c>
      <c r="Q88" s="1" t="s">
        <v>1083</v>
      </c>
      <c r="R88">
        <v>0.900372592920198</v>
      </c>
      <c r="S88" s="1" t="s">
        <v>1084</v>
      </c>
      <c r="T88" t="str">
        <f t="shared" si="18"/>
        <v>Poor</v>
      </c>
      <c r="U88" t="str">
        <f t="shared" si="19"/>
        <v>Poor</v>
      </c>
      <c r="V88" t="str">
        <f t="shared" si="20"/>
        <v>Poor</v>
      </c>
      <c r="W88" t="str">
        <f t="shared" si="21"/>
        <v>Under-segmentation</v>
      </c>
      <c r="X88" t="str">
        <f t="shared" si="22"/>
        <v>High</v>
      </c>
    </row>
    <row r="89" spans="1:24" x14ac:dyDescent="0.3">
      <c r="A89" s="1" t="s">
        <v>707</v>
      </c>
      <c r="B89" t="s">
        <v>708</v>
      </c>
      <c r="C89" t="s">
        <v>12</v>
      </c>
      <c r="D89" t="s">
        <v>709</v>
      </c>
      <c r="E89" t="s">
        <v>710</v>
      </c>
      <c r="F89" t="s">
        <v>111</v>
      </c>
      <c r="G89" s="1" t="s">
        <v>711</v>
      </c>
      <c r="H89" s="1" t="s">
        <v>712</v>
      </c>
      <c r="I89" s="1" t="s">
        <v>713</v>
      </c>
      <c r="J89" s="1" t="s">
        <v>714</v>
      </c>
      <c r="K89" t="str">
        <f t="shared" si="13"/>
        <v>Acceptable</v>
      </c>
      <c r="L89" t="str">
        <f t="shared" si="14"/>
        <v>Acceptable</v>
      </c>
      <c r="M89" t="str">
        <f t="shared" si="15"/>
        <v>Acceptable</v>
      </c>
      <c r="N89" t="str">
        <f t="shared" si="16"/>
        <v>Balanced</v>
      </c>
      <c r="O89" t="str">
        <f t="shared" si="17"/>
        <v>PASS</v>
      </c>
      <c r="P89" s="1" t="s">
        <v>1085</v>
      </c>
      <c r="Q89" s="1" t="s">
        <v>1086</v>
      </c>
      <c r="R89" s="1" t="s">
        <v>1087</v>
      </c>
      <c r="S89" s="1" t="s">
        <v>1088</v>
      </c>
      <c r="T89" t="str">
        <f t="shared" si="18"/>
        <v>Poor</v>
      </c>
      <c r="U89" t="str">
        <f t="shared" si="19"/>
        <v>Poor</v>
      </c>
      <c r="V89" t="str">
        <f t="shared" si="20"/>
        <v>Poor</v>
      </c>
      <c r="W89" t="str">
        <f t="shared" si="21"/>
        <v>Under-segmentation</v>
      </c>
      <c r="X89" t="str">
        <f t="shared" si="22"/>
        <v>High</v>
      </c>
    </row>
    <row r="90" spans="1:24" x14ac:dyDescent="0.3">
      <c r="A90" s="1" t="s">
        <v>715</v>
      </c>
      <c r="B90" t="s">
        <v>716</v>
      </c>
      <c r="C90" t="s">
        <v>12</v>
      </c>
      <c r="D90" t="s">
        <v>717</v>
      </c>
      <c r="E90" t="s">
        <v>718</v>
      </c>
      <c r="F90" t="s">
        <v>183</v>
      </c>
      <c r="G90" s="1" t="s">
        <v>719</v>
      </c>
      <c r="H90" s="1" t="s">
        <v>720</v>
      </c>
      <c r="I90" s="1" t="s">
        <v>721</v>
      </c>
      <c r="J90" s="1" t="s">
        <v>722</v>
      </c>
      <c r="K90" t="str">
        <f t="shared" si="13"/>
        <v>Poor</v>
      </c>
      <c r="L90" t="str">
        <f t="shared" si="14"/>
        <v>Poor</v>
      </c>
      <c r="M90" t="str">
        <f t="shared" si="15"/>
        <v>Poor</v>
      </c>
      <c r="N90" t="str">
        <f t="shared" si="16"/>
        <v>Balanced</v>
      </c>
      <c r="O90" t="str">
        <f t="shared" si="17"/>
        <v>HIGH</v>
      </c>
      <c r="P90" s="1" t="s">
        <v>1089</v>
      </c>
      <c r="Q90" s="1" t="s">
        <v>1090</v>
      </c>
      <c r="R90" s="1" t="s">
        <v>1091</v>
      </c>
      <c r="S90" s="1" t="s">
        <v>1092</v>
      </c>
      <c r="T90" t="str">
        <f t="shared" si="18"/>
        <v>Poor</v>
      </c>
      <c r="U90" t="str">
        <f t="shared" si="19"/>
        <v>Poor</v>
      </c>
      <c r="V90" t="str">
        <f t="shared" si="20"/>
        <v>Poor</v>
      </c>
      <c r="W90" t="str">
        <f t="shared" si="21"/>
        <v>Under-segmentation</v>
      </c>
      <c r="X90" t="str">
        <f t="shared" si="22"/>
        <v>High</v>
      </c>
    </row>
    <row r="91" spans="1:24" x14ac:dyDescent="0.3">
      <c r="A91" s="1" t="s">
        <v>723</v>
      </c>
      <c r="B91" t="s">
        <v>724</v>
      </c>
      <c r="C91" t="s">
        <v>12</v>
      </c>
      <c r="D91" t="s">
        <v>725</v>
      </c>
      <c r="E91" t="s">
        <v>726</v>
      </c>
      <c r="F91" t="s">
        <v>183</v>
      </c>
      <c r="G91" s="1" t="s">
        <v>727</v>
      </c>
      <c r="H91" s="1" t="s">
        <v>728</v>
      </c>
      <c r="I91" s="1" t="s">
        <v>729</v>
      </c>
      <c r="J91" s="1" t="s">
        <v>730</v>
      </c>
      <c r="K91" t="str">
        <f t="shared" si="13"/>
        <v>Acceptable</v>
      </c>
      <c r="L91" t="str">
        <f t="shared" si="14"/>
        <v>Acceptable</v>
      </c>
      <c r="M91" t="str">
        <f t="shared" si="15"/>
        <v>Acceptable</v>
      </c>
      <c r="N91" t="str">
        <f t="shared" si="16"/>
        <v>Balanced</v>
      </c>
      <c r="O91" t="str">
        <f t="shared" si="17"/>
        <v>PASS</v>
      </c>
      <c r="P91" s="1" t="s">
        <v>1093</v>
      </c>
      <c r="Q91" s="1" t="s">
        <v>1094</v>
      </c>
      <c r="R91" s="1" t="s">
        <v>1095</v>
      </c>
      <c r="S91" s="1" t="s">
        <v>1096</v>
      </c>
      <c r="T91" t="str">
        <f t="shared" si="18"/>
        <v>Poor</v>
      </c>
      <c r="U91" t="str">
        <f t="shared" si="19"/>
        <v>Poor</v>
      </c>
      <c r="V91" t="str">
        <f t="shared" si="20"/>
        <v>Poor</v>
      </c>
      <c r="W91" t="str">
        <f t="shared" si="21"/>
        <v>Under-segmentation</v>
      </c>
      <c r="X91" t="str">
        <f t="shared" si="22"/>
        <v>High</v>
      </c>
    </row>
    <row r="92" spans="1:24" x14ac:dyDescent="0.3">
      <c r="A92" s="1" t="s">
        <v>731</v>
      </c>
      <c r="B92" t="s">
        <v>732</v>
      </c>
      <c r="C92" t="s">
        <v>12</v>
      </c>
      <c r="D92" t="s">
        <v>733</v>
      </c>
      <c r="E92" t="s">
        <v>734</v>
      </c>
      <c r="F92" t="s">
        <v>111</v>
      </c>
      <c r="G92" s="1" t="s">
        <v>735</v>
      </c>
      <c r="H92">
        <v>0.59081607948931003</v>
      </c>
      <c r="I92" s="1" t="s">
        <v>736</v>
      </c>
      <c r="J92" s="1" t="s">
        <v>737</v>
      </c>
      <c r="K92" t="str">
        <f t="shared" si="13"/>
        <v>Acceptable</v>
      </c>
      <c r="L92" t="str">
        <f t="shared" si="14"/>
        <v>Acceptable</v>
      </c>
      <c r="M92" t="str">
        <f t="shared" si="15"/>
        <v>Acceptable</v>
      </c>
      <c r="N92" t="str">
        <f t="shared" si="16"/>
        <v>Over-seg</v>
      </c>
      <c r="O92" t="str">
        <f t="shared" si="17"/>
        <v>MEDIUM</v>
      </c>
      <c r="P92" s="1" t="s">
        <v>1097</v>
      </c>
      <c r="Q92" s="1" t="s">
        <v>1098</v>
      </c>
      <c r="R92" s="1" t="s">
        <v>1099</v>
      </c>
      <c r="S92" s="1" t="s">
        <v>1100</v>
      </c>
      <c r="T92" t="str">
        <f t="shared" si="18"/>
        <v>Poor</v>
      </c>
      <c r="U92" t="str">
        <f t="shared" si="19"/>
        <v>Poor</v>
      </c>
      <c r="V92" t="str">
        <f t="shared" si="20"/>
        <v>Poor</v>
      </c>
      <c r="W92" t="str">
        <f t="shared" si="21"/>
        <v>Under-segmentation</v>
      </c>
      <c r="X92" t="str">
        <f t="shared" si="22"/>
        <v>High</v>
      </c>
    </row>
    <row r="93" spans="1:24" x14ac:dyDescent="0.3">
      <c r="A93" s="1" t="s">
        <v>738</v>
      </c>
      <c r="B93" t="s">
        <v>739</v>
      </c>
      <c r="C93" t="s">
        <v>12</v>
      </c>
      <c r="D93" t="s">
        <v>740</v>
      </c>
      <c r="E93" t="s">
        <v>741</v>
      </c>
      <c r="F93" t="s">
        <v>276</v>
      </c>
      <c r="G93" s="1" t="s">
        <v>742</v>
      </c>
      <c r="H93" s="1" t="s">
        <v>743</v>
      </c>
      <c r="I93" s="1" t="s">
        <v>744</v>
      </c>
      <c r="J93">
        <v>0.91208914891384196</v>
      </c>
      <c r="K93" t="str">
        <f t="shared" si="13"/>
        <v>Acceptable</v>
      </c>
      <c r="L93" t="str">
        <f t="shared" si="14"/>
        <v>Acceptable</v>
      </c>
      <c r="M93" t="str">
        <f t="shared" si="15"/>
        <v>Acceptable</v>
      </c>
      <c r="N93" t="str">
        <f t="shared" si="16"/>
        <v>Over-seg</v>
      </c>
      <c r="O93" t="str">
        <f t="shared" si="17"/>
        <v>MEDIUM</v>
      </c>
      <c r="P93" s="1" t="s">
        <v>1101</v>
      </c>
      <c r="Q93" s="1" t="s">
        <v>1102</v>
      </c>
      <c r="R93" s="1" t="s">
        <v>1103</v>
      </c>
      <c r="S93" s="1" t="s">
        <v>1104</v>
      </c>
      <c r="T93" t="str">
        <f t="shared" si="18"/>
        <v>Poor</v>
      </c>
      <c r="U93" t="str">
        <f t="shared" si="19"/>
        <v>Poor</v>
      </c>
      <c r="V93" t="str">
        <f t="shared" si="20"/>
        <v>Poor</v>
      </c>
      <c r="W93" t="str">
        <f t="shared" si="21"/>
        <v>Under-segmentation</v>
      </c>
      <c r="X93" t="str">
        <f t="shared" si="22"/>
        <v>High</v>
      </c>
    </row>
    <row r="94" spans="1:24" x14ac:dyDescent="0.3">
      <c r="A94" s="1" t="s">
        <v>745</v>
      </c>
      <c r="B94" t="s">
        <v>746</v>
      </c>
      <c r="C94" t="s">
        <v>12</v>
      </c>
      <c r="D94" t="s">
        <v>747</v>
      </c>
      <c r="E94" t="s">
        <v>748</v>
      </c>
      <c r="F94" t="s">
        <v>260</v>
      </c>
      <c r="G94" s="1" t="s">
        <v>749</v>
      </c>
      <c r="H94" s="1" t="s">
        <v>750</v>
      </c>
      <c r="I94" s="1" t="s">
        <v>751</v>
      </c>
      <c r="J94" s="1" t="s">
        <v>752</v>
      </c>
      <c r="K94" t="str">
        <f t="shared" si="13"/>
        <v>Acceptable</v>
      </c>
      <c r="L94" t="str">
        <f t="shared" si="14"/>
        <v>Acceptable</v>
      </c>
      <c r="M94" t="str">
        <f t="shared" si="15"/>
        <v>Acceptable</v>
      </c>
      <c r="N94" t="str">
        <f t="shared" si="16"/>
        <v>Balanced</v>
      </c>
      <c r="O94" t="str">
        <f t="shared" si="17"/>
        <v>PASS</v>
      </c>
      <c r="P94" s="1" t="s">
        <v>1105</v>
      </c>
      <c r="Q94" s="1" t="s">
        <v>1106</v>
      </c>
      <c r="R94" s="1" t="s">
        <v>1107</v>
      </c>
      <c r="S94" s="1" t="s">
        <v>1108</v>
      </c>
      <c r="T94" t="str">
        <f t="shared" si="18"/>
        <v>Poor</v>
      </c>
      <c r="U94" t="str">
        <f t="shared" si="19"/>
        <v>Poor</v>
      </c>
      <c r="V94" t="str">
        <f t="shared" si="20"/>
        <v>Poor</v>
      </c>
      <c r="W94" t="str">
        <f t="shared" si="21"/>
        <v>Under-segmentation</v>
      </c>
      <c r="X94" t="str">
        <f t="shared" si="22"/>
        <v>High</v>
      </c>
    </row>
    <row r="95" spans="1:24" x14ac:dyDescent="0.3">
      <c r="A95">
        <v>100</v>
      </c>
      <c r="B95" t="s">
        <v>753</v>
      </c>
      <c r="C95" t="s">
        <v>12</v>
      </c>
      <c r="D95" t="s">
        <v>754</v>
      </c>
      <c r="E95" t="s">
        <v>755</v>
      </c>
      <c r="F95" t="s">
        <v>260</v>
      </c>
      <c r="G95" s="1" t="s">
        <v>756</v>
      </c>
      <c r="H95" s="1" t="s">
        <v>757</v>
      </c>
      <c r="I95" s="1" t="s">
        <v>758</v>
      </c>
      <c r="J95">
        <v>0.95038269589282198</v>
      </c>
      <c r="K95" t="str">
        <f t="shared" si="13"/>
        <v>Acceptable</v>
      </c>
      <c r="L95" t="str">
        <f t="shared" si="14"/>
        <v>Acceptable</v>
      </c>
      <c r="M95" t="str">
        <f t="shared" si="15"/>
        <v>Acceptable</v>
      </c>
      <c r="N95" t="str">
        <f t="shared" si="16"/>
        <v>Over-seg</v>
      </c>
      <c r="O95" t="str">
        <f t="shared" si="17"/>
        <v>MEDIUM</v>
      </c>
      <c r="P95" s="1" t="s">
        <v>1109</v>
      </c>
      <c r="Q95" s="1" t="s">
        <v>1110</v>
      </c>
      <c r="R95">
        <v>0.92443188396331999</v>
      </c>
      <c r="S95" s="1" t="s">
        <v>1111</v>
      </c>
      <c r="T95" t="str">
        <f t="shared" si="18"/>
        <v>Poor</v>
      </c>
      <c r="U95" t="str">
        <f t="shared" si="19"/>
        <v>Poor</v>
      </c>
      <c r="V95" t="str">
        <f t="shared" si="20"/>
        <v>Poor</v>
      </c>
      <c r="W95" t="str">
        <f t="shared" si="21"/>
        <v>Under-segmentation</v>
      </c>
      <c r="X95" t="str">
        <f t="shared" si="22"/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79DA-42D5-49C3-A840-F6E8AC33EE6E}">
  <dimension ref="A1:A94"/>
  <sheetViews>
    <sheetView topLeftCell="A41" workbookViewId="0">
      <selection activeCell="A67" sqref="A67"/>
    </sheetView>
  </sheetViews>
  <sheetFormatPr defaultRowHeight="14.4" x14ac:dyDescent="0.3"/>
  <sheetData>
    <row r="1" spans="1:1" x14ac:dyDescent="0.3">
      <c r="A1" s="3" t="s">
        <v>10</v>
      </c>
    </row>
    <row r="2" spans="1:1" x14ac:dyDescent="0.3">
      <c r="A2" s="4" t="s">
        <v>20</v>
      </c>
    </row>
    <row r="3" spans="1:1" x14ac:dyDescent="0.3">
      <c r="A3" s="3" t="s">
        <v>29</v>
      </c>
    </row>
    <row r="4" spans="1:1" x14ac:dyDescent="0.3">
      <c r="A4" s="4" t="s">
        <v>38</v>
      </c>
    </row>
    <row r="5" spans="1:1" x14ac:dyDescent="0.3">
      <c r="A5" s="3" t="s">
        <v>46</v>
      </c>
    </row>
    <row r="6" spans="1:1" x14ac:dyDescent="0.3">
      <c r="A6" s="4" t="s">
        <v>54</v>
      </c>
    </row>
    <row r="7" spans="1:1" x14ac:dyDescent="0.3">
      <c r="A7" s="3" t="s">
        <v>63</v>
      </c>
    </row>
    <row r="8" spans="1:1" x14ac:dyDescent="0.3">
      <c r="A8" s="4" t="s">
        <v>72</v>
      </c>
    </row>
    <row r="9" spans="1:1" x14ac:dyDescent="0.3">
      <c r="A9" s="3" t="s">
        <v>80</v>
      </c>
    </row>
    <row r="10" spans="1:1" x14ac:dyDescent="0.3">
      <c r="A10" s="4" t="s">
        <v>89</v>
      </c>
    </row>
    <row r="11" spans="1:1" x14ac:dyDescent="0.3">
      <c r="A11" s="3" t="s">
        <v>98</v>
      </c>
    </row>
    <row r="12" spans="1:1" x14ac:dyDescent="0.3">
      <c r="A12" s="4" t="s">
        <v>107</v>
      </c>
    </row>
    <row r="13" spans="1:1" x14ac:dyDescent="0.3">
      <c r="A13" s="3" t="s">
        <v>115</v>
      </c>
    </row>
    <row r="14" spans="1:1" x14ac:dyDescent="0.3">
      <c r="A14" s="4" t="s">
        <v>124</v>
      </c>
    </row>
    <row r="15" spans="1:1" x14ac:dyDescent="0.3">
      <c r="A15" s="3" t="s">
        <v>131</v>
      </c>
    </row>
    <row r="16" spans="1:1" x14ac:dyDescent="0.3">
      <c r="A16" s="4" t="s">
        <v>137</v>
      </c>
    </row>
    <row r="17" spans="1:1" x14ac:dyDescent="0.3">
      <c r="A17" s="3" t="s">
        <v>145</v>
      </c>
    </row>
    <row r="18" spans="1:1" x14ac:dyDescent="0.3">
      <c r="A18" s="4" t="s">
        <v>153</v>
      </c>
    </row>
    <row r="19" spans="1:1" x14ac:dyDescent="0.3">
      <c r="A19" s="3" t="s">
        <v>161</v>
      </c>
    </row>
    <row r="20" spans="1:1" x14ac:dyDescent="0.3">
      <c r="A20" s="4" t="s">
        <v>170</v>
      </c>
    </row>
    <row r="21" spans="1:1" x14ac:dyDescent="0.3">
      <c r="A21" s="3" t="s">
        <v>179</v>
      </c>
    </row>
    <row r="22" spans="1:1" x14ac:dyDescent="0.3">
      <c r="A22" s="4" t="s">
        <v>187</v>
      </c>
    </row>
    <row r="23" spans="1:1" x14ac:dyDescent="0.3">
      <c r="A23" s="3" t="s">
        <v>195</v>
      </c>
    </row>
    <row r="24" spans="1:1" x14ac:dyDescent="0.3">
      <c r="A24" s="4" t="s">
        <v>203</v>
      </c>
    </row>
    <row r="25" spans="1:1" x14ac:dyDescent="0.3">
      <c r="A25" s="3" t="s">
        <v>212</v>
      </c>
    </row>
    <row r="26" spans="1:1" x14ac:dyDescent="0.3">
      <c r="A26" s="4" t="s">
        <v>221</v>
      </c>
    </row>
    <row r="27" spans="1:1" x14ac:dyDescent="0.3">
      <c r="A27" s="3" t="s">
        <v>230</v>
      </c>
    </row>
    <row r="28" spans="1:1" x14ac:dyDescent="0.3">
      <c r="A28" s="4" t="s">
        <v>239</v>
      </c>
    </row>
    <row r="29" spans="1:1" x14ac:dyDescent="0.3">
      <c r="A29" s="3" t="s">
        <v>247</v>
      </c>
    </row>
    <row r="30" spans="1:1" x14ac:dyDescent="0.3">
      <c r="A30" s="4" t="s">
        <v>256</v>
      </c>
    </row>
    <row r="31" spans="1:1" x14ac:dyDescent="0.3">
      <c r="A31" s="3" t="s">
        <v>265</v>
      </c>
    </row>
    <row r="32" spans="1:1" x14ac:dyDescent="0.3">
      <c r="A32" s="4" t="s">
        <v>272</v>
      </c>
    </row>
    <row r="33" spans="1:1" x14ac:dyDescent="0.3">
      <c r="A33" s="3" t="s">
        <v>281</v>
      </c>
    </row>
    <row r="34" spans="1:1" x14ac:dyDescent="0.3">
      <c r="A34" s="4" t="s">
        <v>289</v>
      </c>
    </row>
    <row r="35" spans="1:1" x14ac:dyDescent="0.3">
      <c r="A35" s="3" t="s">
        <v>295</v>
      </c>
    </row>
    <row r="36" spans="1:1" x14ac:dyDescent="0.3">
      <c r="A36" s="4" t="s">
        <v>304</v>
      </c>
    </row>
    <row r="37" spans="1:1" x14ac:dyDescent="0.3">
      <c r="A37" s="3" t="s">
        <v>312</v>
      </c>
    </row>
    <row r="38" spans="1:1" x14ac:dyDescent="0.3">
      <c r="A38" s="4" t="s">
        <v>312</v>
      </c>
    </row>
    <row r="39" spans="1:1" x14ac:dyDescent="0.3">
      <c r="A39" s="3" t="s">
        <v>327</v>
      </c>
    </row>
    <row r="40" spans="1:1" x14ac:dyDescent="0.3">
      <c r="A40" s="4" t="s">
        <v>334</v>
      </c>
    </row>
    <row r="41" spans="1:1" x14ac:dyDescent="0.3">
      <c r="A41" s="3" t="s">
        <v>342</v>
      </c>
    </row>
    <row r="42" spans="1:1" x14ac:dyDescent="0.3">
      <c r="A42" s="4" t="s">
        <v>350</v>
      </c>
    </row>
    <row r="43" spans="1:1" x14ac:dyDescent="0.3">
      <c r="A43" s="3" t="s">
        <v>358</v>
      </c>
    </row>
    <row r="44" spans="1:1" x14ac:dyDescent="0.3">
      <c r="A44" s="4" t="s">
        <v>366</v>
      </c>
    </row>
    <row r="45" spans="1:1" x14ac:dyDescent="0.3">
      <c r="A45" s="3" t="s">
        <v>375</v>
      </c>
    </row>
    <row r="46" spans="1:1" x14ac:dyDescent="0.3">
      <c r="A46" s="4" t="s">
        <v>382</v>
      </c>
    </row>
    <row r="47" spans="1:1" x14ac:dyDescent="0.3">
      <c r="A47" s="3" t="s">
        <v>391</v>
      </c>
    </row>
    <row r="48" spans="1:1" x14ac:dyDescent="0.3">
      <c r="A48" s="4" t="s">
        <v>396</v>
      </c>
    </row>
    <row r="49" spans="1:1" x14ac:dyDescent="0.3">
      <c r="A49" s="3" t="s">
        <v>403</v>
      </c>
    </row>
    <row r="50" spans="1:1" x14ac:dyDescent="0.3">
      <c r="A50" s="4" t="s">
        <v>411</v>
      </c>
    </row>
    <row r="51" spans="1:1" x14ac:dyDescent="0.3">
      <c r="A51" s="3" t="s">
        <v>419</v>
      </c>
    </row>
    <row r="52" spans="1:1" x14ac:dyDescent="0.3">
      <c r="A52" s="4" t="s">
        <v>419</v>
      </c>
    </row>
    <row r="53" spans="1:1" x14ac:dyDescent="0.3">
      <c r="A53" s="3" t="s">
        <v>434</v>
      </c>
    </row>
    <row r="54" spans="1:1" x14ac:dyDescent="0.3">
      <c r="A54" s="4" t="s">
        <v>441</v>
      </c>
    </row>
    <row r="55" spans="1:1" x14ac:dyDescent="0.3">
      <c r="A55" s="3" t="s">
        <v>449</v>
      </c>
    </row>
    <row r="56" spans="1:1" x14ac:dyDescent="0.3">
      <c r="A56" s="4" t="s">
        <v>449</v>
      </c>
    </row>
    <row r="57" spans="1:1" x14ac:dyDescent="0.3">
      <c r="A57" s="3" t="s">
        <v>464</v>
      </c>
    </row>
    <row r="58" spans="1:1" x14ac:dyDescent="0.3">
      <c r="A58" s="4" t="s">
        <v>472</v>
      </c>
    </row>
    <row r="59" spans="1:1" x14ac:dyDescent="0.3">
      <c r="A59" s="3" t="s">
        <v>479</v>
      </c>
    </row>
    <row r="60" spans="1:1" x14ac:dyDescent="0.3">
      <c r="A60" s="4" t="s">
        <v>487</v>
      </c>
    </row>
    <row r="61" spans="1:1" x14ac:dyDescent="0.3">
      <c r="A61" s="3" t="s">
        <v>495</v>
      </c>
    </row>
    <row r="62" spans="1:1" x14ac:dyDescent="0.3">
      <c r="A62" s="4" t="s">
        <v>503</v>
      </c>
    </row>
    <row r="63" spans="1:1" x14ac:dyDescent="0.3">
      <c r="A63" s="3" t="s">
        <v>510</v>
      </c>
    </row>
    <row r="64" spans="1:1" x14ac:dyDescent="0.3">
      <c r="A64" s="4" t="s">
        <v>518</v>
      </c>
    </row>
    <row r="65" spans="1:1" x14ac:dyDescent="0.3">
      <c r="A65" s="3" t="s">
        <v>525</v>
      </c>
    </row>
    <row r="66" spans="1:1" x14ac:dyDescent="0.3">
      <c r="A66" s="4" t="s">
        <v>532</v>
      </c>
    </row>
    <row r="67" spans="1:1" x14ac:dyDescent="0.3">
      <c r="A67" s="3" t="s">
        <v>541</v>
      </c>
    </row>
    <row r="68" spans="1:1" x14ac:dyDescent="0.3">
      <c r="A68" s="4" t="s">
        <v>548</v>
      </c>
    </row>
    <row r="69" spans="1:1" x14ac:dyDescent="0.3">
      <c r="A69" s="3" t="s">
        <v>556</v>
      </c>
    </row>
    <row r="70" spans="1:1" x14ac:dyDescent="0.3">
      <c r="A70" s="4" t="s">
        <v>563</v>
      </c>
    </row>
    <row r="71" spans="1:1" x14ac:dyDescent="0.3">
      <c r="A71" s="3" t="s">
        <v>571</v>
      </c>
    </row>
    <row r="72" spans="1:1" x14ac:dyDescent="0.3">
      <c r="A72" s="4" t="s">
        <v>579</v>
      </c>
    </row>
    <row r="73" spans="1:1" x14ac:dyDescent="0.3">
      <c r="A73" s="3" t="s">
        <v>588</v>
      </c>
    </row>
    <row r="74" spans="1:1" x14ac:dyDescent="0.3">
      <c r="A74" s="4" t="s">
        <v>596</v>
      </c>
    </row>
    <row r="75" spans="1:1" x14ac:dyDescent="0.3">
      <c r="A75" s="3" t="s">
        <v>603</v>
      </c>
    </row>
    <row r="76" spans="1:1" x14ac:dyDescent="0.3">
      <c r="A76" s="4" t="s">
        <v>610</v>
      </c>
    </row>
    <row r="77" spans="1:1" x14ac:dyDescent="0.3">
      <c r="A77" s="3" t="s">
        <v>618</v>
      </c>
    </row>
    <row r="78" spans="1:1" x14ac:dyDescent="0.3">
      <c r="A78" s="4" t="s">
        <v>627</v>
      </c>
    </row>
    <row r="79" spans="1:1" x14ac:dyDescent="0.3">
      <c r="A79" s="3" t="s">
        <v>635</v>
      </c>
    </row>
    <row r="80" spans="1:1" x14ac:dyDescent="0.3">
      <c r="A80" s="4" t="s">
        <v>643</v>
      </c>
    </row>
    <row r="81" spans="1:1" x14ac:dyDescent="0.3">
      <c r="A81" s="3" t="s">
        <v>650</v>
      </c>
    </row>
    <row r="82" spans="1:1" x14ac:dyDescent="0.3">
      <c r="A82" s="4" t="s">
        <v>658</v>
      </c>
    </row>
    <row r="83" spans="1:1" x14ac:dyDescent="0.3">
      <c r="A83" s="3" t="s">
        <v>666</v>
      </c>
    </row>
    <row r="84" spans="1:1" x14ac:dyDescent="0.3">
      <c r="A84" s="4" t="s">
        <v>674</v>
      </c>
    </row>
    <row r="85" spans="1:1" x14ac:dyDescent="0.3">
      <c r="A85" s="3" t="s">
        <v>683</v>
      </c>
    </row>
    <row r="86" spans="1:1" x14ac:dyDescent="0.3">
      <c r="A86" s="4" t="s">
        <v>691</v>
      </c>
    </row>
    <row r="87" spans="1:1" x14ac:dyDescent="0.3">
      <c r="A87" s="3" t="s">
        <v>699</v>
      </c>
    </row>
    <row r="88" spans="1:1" x14ac:dyDescent="0.3">
      <c r="A88" s="4" t="s">
        <v>707</v>
      </c>
    </row>
    <row r="89" spans="1:1" x14ac:dyDescent="0.3">
      <c r="A89" s="3" t="s">
        <v>715</v>
      </c>
    </row>
    <row r="90" spans="1:1" x14ac:dyDescent="0.3">
      <c r="A90" s="4" t="s">
        <v>723</v>
      </c>
    </row>
    <row r="91" spans="1:1" x14ac:dyDescent="0.3">
      <c r="A91" s="3" t="s">
        <v>731</v>
      </c>
    </row>
    <row r="92" spans="1:1" x14ac:dyDescent="0.3">
      <c r="A92" s="4" t="s">
        <v>738</v>
      </c>
    </row>
    <row r="93" spans="1:1" x14ac:dyDescent="0.3">
      <c r="A93" s="3" t="s">
        <v>745</v>
      </c>
    </row>
    <row r="94" spans="1:1" x14ac:dyDescent="0.3">
      <c r="A94" s="2">
        <v>100</v>
      </c>
    </row>
  </sheetData>
  <conditionalFormatting sqref="A1:A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Shetty</dc:creator>
  <cp:lastModifiedBy>Disha Shetty</cp:lastModifiedBy>
  <dcterms:created xsi:type="dcterms:W3CDTF">2026-03-29T10:33:52Z</dcterms:created>
  <dcterms:modified xsi:type="dcterms:W3CDTF">2026-04-01T07:32:14Z</dcterms:modified>
</cp:coreProperties>
</file>